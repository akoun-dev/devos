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STATISTIQUES" sheetId="2" state="visible" r:id="rId2"/>
  </sheets>
  <definedNames>
    <definedName name="_xlnm.Print_Titles" localSheetId="0">'TASKS'!$4:$4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0"/>
      <color rgb="FF1B2A4A"/>
      <sz val="16"/>
    </font>
    <font>
      <name val="Noto Sans CJK SC"/>
      <charset val="1"/>
      <family val="0"/>
      <color rgb="FF8C8A84"/>
      <sz val="9"/>
    </font>
    <font>
      <name val="Noto Sans CJK SC"/>
      <charset val="1"/>
      <family val="0"/>
      <color rgb="FFFFFFFF"/>
      <sz val="11"/>
    </font>
    <font>
      <name val="Noto Sans CJK SC"/>
      <charset val="1"/>
      <family val="0"/>
      <color rgb="FF37352F"/>
      <sz val="11"/>
    </font>
    <font>
      <name val="Noto Sans CJK SC"/>
      <charset val="1"/>
      <family val="0"/>
      <b val="1"/>
      <color rgb="FF1B7D46"/>
      <sz val="10"/>
    </font>
    <font>
      <name val="Noto Sans CJK SC"/>
      <charset val="1"/>
      <family val="0"/>
      <b val="1"/>
      <color rgb="FFD4820A"/>
      <sz val="10"/>
    </font>
    <font>
      <name val="Noto Sans CJK SC"/>
      <charset val="1"/>
      <family val="0"/>
      <b val="1"/>
      <color rgb="FF8C8A84"/>
      <sz val="10"/>
    </font>
    <font>
      <name val="Noto Sans CJK SC"/>
      <charset val="1"/>
      <family val="0"/>
      <color rgb="FF1B2A4A"/>
      <sz val="11"/>
    </font>
    <font>
      <b val="1"/>
      <color rgb="001B7D46"/>
      <sz val="10"/>
    </font>
    <font>
      <name val="Noto Sans CJK SC"/>
      <b val="1"/>
      <color rgb="001B7D46"/>
      <sz val="10"/>
    </font>
    <font>
      <name val="Noto Sans CJK SC"/>
      <color rgb="0037352F"/>
      <sz val="11"/>
    </font>
    <font>
      <name val="Noto Sans CJK SC"/>
      <b val="1"/>
      <color rgb="008C8A84"/>
      <sz val="10"/>
    </font>
    <font>
      <name val="Noto Sans CJK SC"/>
      <b val="1"/>
      <color rgb="00D4820A"/>
      <sz val="10"/>
    </font>
    <font>
      <name val="Noto Sans CJK SC"/>
      <sz val="10"/>
    </font>
    <font>
      <name val="Noto Sans CJK SC"/>
      <color rgb="001B2A4A"/>
      <sz val="11"/>
    </font>
    <font>
      <color rgb="008C8A84"/>
      <sz val="9"/>
    </font>
  </fonts>
  <fills count="11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EF9E7"/>
      </patternFill>
    </fill>
    <fill>
      <patternFill patternType="solid">
        <fgColor rgb="FFFEF9E7"/>
        <bgColor rgb="FFF7F7F5"/>
      </patternFill>
    </fill>
    <fill>
      <patternFill patternType="solid">
        <fgColor rgb="FFD6E4F0"/>
        <bgColor rgb="FFE9E9E8"/>
      </patternFill>
    </fill>
    <fill>
      <patternFill patternType="solid">
        <fgColor rgb="00E8F5E9"/>
        <bgColor rgb="00E8F5E9"/>
      </patternFill>
    </fill>
    <fill>
      <patternFill patternType="solid">
        <fgColor rgb="00F7F7F5"/>
      </patternFill>
    </fill>
    <fill>
      <patternFill patternType="solid">
        <fgColor rgb="00D6E4F0"/>
      </patternFill>
    </fill>
  </fills>
  <borders count="4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  <border>
      <top style="medium">
        <color rgb="00E9E9E8"/>
      </top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11" fillId="7" borderId="2" applyAlignment="1" pivotButton="0" quotePrefix="0" xfId="0">
      <alignment horizontal="general" vertical="bottom"/>
    </xf>
    <xf numFmtId="9" fontId="11" fillId="7" borderId="2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11" fillId="7" borderId="2" applyAlignment="1" pivotButton="0" quotePrefix="0" xfId="0">
      <alignment horizontal="general" vertical="bottom"/>
    </xf>
    <xf numFmtId="9" fontId="11" fillId="7" borderId="2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4" fillId="9" borderId="2" applyAlignment="1" pivotButton="0" quotePrefix="0" xfId="0">
      <alignment horizontal="general" vertical="bottom"/>
    </xf>
    <xf numFmtId="0" fontId="15" fillId="9" borderId="2" applyAlignment="1" pivotButton="0" quotePrefix="0" xfId="0">
      <alignment horizontal="general" vertical="bottom"/>
    </xf>
    <xf numFmtId="9" fontId="14" fillId="9" borderId="2" applyAlignment="1" pivotButton="0" quotePrefix="0" xfId="0">
      <alignment horizontal="center" vertical="center"/>
    </xf>
    <xf numFmtId="0" fontId="16" fillId="9" borderId="2" applyAlignment="1" pivotButton="0" quotePrefix="0" xfId="0">
      <alignment horizontal="center" vertical="center"/>
    </xf>
    <xf numFmtId="0" fontId="17" fillId="9" borderId="2" applyAlignment="1" pivotButton="0" quotePrefix="0" xfId="0">
      <alignment horizontal="general" vertical="bottom"/>
    </xf>
    <xf numFmtId="0" fontId="18" fillId="10" borderId="3" pivotButton="0" quotePrefix="0" xfId="0"/>
    <xf numFmtId="9" fontId="18" fillId="10" borderId="3" pivotButton="0" quotePrefix="0" xfId="0"/>
    <xf numFmtId="0" fontId="1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EF9E7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F7F7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T1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8" min="1" max="1"/>
    <col width="28" customWidth="1" style="18" min="2" max="2"/>
    <col width="11" customWidth="1" style="18" min="3" max="3"/>
    <col width="27" customWidth="1" style="18" min="4" max="4"/>
    <col width="34" customWidth="1" style="18" min="5" max="5"/>
    <col width="40" customWidth="1" style="18" min="6" max="6"/>
    <col width="27" customWidth="1" style="18" min="7" max="7"/>
    <col width="10" customWidth="1" style="18" min="8" max="8"/>
    <col width="8" customWidth="1" style="18" min="9" max="10"/>
    <col width="34" customWidth="1" style="18" min="11" max="12"/>
    <col width="28" customWidth="1" style="18" min="13" max="13"/>
    <col width="12" customWidth="1" style="18" min="14" max="14"/>
    <col width="8" customWidth="1" style="18" min="15" max="15"/>
    <col width="28" customWidth="1" style="18" min="16" max="17"/>
    <col width="12" customWidth="1" style="18" min="18" max="18"/>
    <col width="38" customWidth="1" style="18" min="19" max="19"/>
    <col width="28" customWidth="1" style="18" min="20" max="20"/>
  </cols>
  <sheetData>
    <row r="1" ht="15" customHeight="1" s="19"/>
    <row r="2" ht="31.5" customHeight="1" s="19">
      <c r="B2" s="20" t="inlineStr">
        <is>
          <t>Backlog Central — Système Multi-Agents</t>
        </is>
      </c>
    </row>
    <row r="3" ht="7.5" customHeight="1" s="19">
      <c r="B3" s="21" t="inlineStr">
        <is>
          <t>Source de vérité du suivi · Mise à jour : 2026-10-25 · Projet : nextjs_tailwind_shadcn_ts v0.2.1</t>
        </is>
      </c>
    </row>
    <row r="4" ht="27.75" customHeight="1" s="19">
      <c r="B4" s="22" t="inlineStr">
        <is>
          <t>ID</t>
        </is>
      </c>
      <c r="C4" s="22" t="inlineStr">
        <is>
          <t>Epic</t>
        </is>
      </c>
      <c r="D4" s="22" t="inlineStr">
        <is>
          <t>Fonctionnalité</t>
        </is>
      </c>
      <c r="E4" s="22" t="inlineStr">
        <is>
          <t>Sous-tâche</t>
        </is>
      </c>
      <c r="F4" s="22" t="inlineStr">
        <is>
          <t>Description</t>
        </is>
      </c>
      <c r="G4" s="22" t="inlineStr">
        <is>
          <t>Rôle Assigné</t>
        </is>
      </c>
      <c r="H4" s="22" t="inlineStr">
        <is>
          <t>Statut</t>
        </is>
      </c>
      <c r="I4" s="22" t="inlineStr">
        <is>
          <t>Progression</t>
        </is>
      </c>
      <c r="J4" s="22" t="inlineStr">
        <is>
          <t>Priorité</t>
        </is>
      </c>
      <c r="K4" s="22" t="inlineStr">
        <is>
          <t>Dépendance Inter-Agents</t>
        </is>
      </c>
      <c r="L4" s="22" t="inlineStr">
        <is>
          <t>Fichiers concernés</t>
        </is>
      </c>
      <c r="M4" s="22" t="inlineStr">
        <is>
          <t>Tests</t>
        </is>
      </c>
      <c r="N4" s="22" t="inlineStr">
        <is>
          <t>Résultat test</t>
        </is>
      </c>
      <c r="O4" s="22" t="inlineStr">
        <is>
          <t>Bugs</t>
        </is>
      </c>
      <c r="P4" s="22" t="inlineStr">
        <is>
          <t>Commits liés</t>
        </is>
      </c>
      <c r="Q4" s="22" t="inlineStr">
        <is>
          <t>Review Status</t>
        </is>
      </c>
      <c r="R4" s="22" t="inlineStr">
        <is>
          <t>Date début</t>
        </is>
      </c>
      <c r="S4" s="22" t="inlineStr">
        <is>
          <t>Date fin</t>
        </is>
      </c>
      <c r="T4" s="22" t="inlineStr">
        <is>
          <t>Commentaires</t>
        </is>
      </c>
    </row>
    <row r="5" ht="21.75" customHeight="1" s="19">
      <c r="B5" s="23" t="inlineStr">
        <is>
          <t>TASK-001</t>
        </is>
      </c>
      <c r="C5" s="23" t="inlineStr">
        <is>
          <t>BOOTSTRAP</t>
        </is>
      </c>
      <c r="D5" s="23" t="inlineStr">
        <is>
          <t>Prise en charge du projet</t>
        </is>
      </c>
      <c r="E5" s="23" t="inlineStr">
        <is>
          <t>Analyse complète du codebase</t>
        </is>
      </c>
      <c r="F5" s="23" t="inlineStr">
        <is>
          <t>Scan arborescence + lecture fichiers critiques (package.json, page.tsx, layout.tsx, api/route.ts, schema.prisma, db.ts, next.config.ts, Caddyfile, eslint.config.mjs, globals.css) + vérification runtime (dev.log, GET / 200)</t>
        </is>
      </c>
      <c r="G5" s="23" t="inlineStr">
        <is>
          <t>Tech Lead (Agent 1)</t>
        </is>
      </c>
      <c r="H5" s="24" t="inlineStr">
        <is>
          <t>TERMINÉ</t>
        </is>
      </c>
      <c r="I5" s="25" t="n">
        <v>1</v>
      </c>
      <c r="J5" s="26" t="inlineStr">
        <is>
          <t>P1</t>
        </is>
      </c>
      <c r="K5" s="23" t="inlineStr">
        <is>
          <t>Aucune</t>
        </is>
      </c>
      <c r="L5" s="23" t="inlineStr">
        <is>
          <t>package.json; src/app/*; prisma/schema.prisma; src/lib/db.ts; next.config.ts; eslint.config.mjs; Caddyfile</t>
        </is>
      </c>
      <c r="M5" s="23" t="inlineStr">
        <is>
          <t>Inspection manuelle + smoke tests S1-S4</t>
        </is>
      </c>
      <c r="N5" s="23" t="inlineStr">
        <is>
          <t>PASS</t>
        </is>
      </c>
      <c r="O5" s="23" t="n">
        <v>0</v>
      </c>
      <c r="P5" s="23" t="inlineStr">
        <is>
          <t>— (lecture seule)</t>
        </is>
      </c>
      <c r="Q5" s="23" t="inlineStr">
        <is>
          <t>NON REQUISE (analyse)</t>
        </is>
      </c>
      <c r="R5" s="23" t="inlineStr">
        <is>
          <t>2026-10-25</t>
        </is>
      </c>
      <c r="S5" s="23" t="inlineStr">
        <is>
          <t>2026-10-25</t>
        </is>
      </c>
      <c r="T5" s="23" t="inlineStr">
        <is>
          <t>Projet = scaffold vierge sans code métier. Constats tracés dans PROJECT_CONTEXT.md §6</t>
        </is>
      </c>
    </row>
    <row r="6" ht="21.75" customHeight="1" s="19">
      <c r="B6" s="27" t="inlineStr">
        <is>
          <t>TASK-002</t>
        </is>
      </c>
      <c r="C6" s="27" t="inlineStr">
        <is>
          <t>BOOTSTRAP</t>
        </is>
      </c>
      <c r="D6" s="27" t="inlineStr">
        <is>
          <t>Prise en charge du projet</t>
        </is>
      </c>
      <c r="E6" s="27" t="inlineStr">
        <is>
          <t>Dossier de pilotage .ai/ (gouvernance)</t>
        </is>
      </c>
      <c r="F6" s="27" t="inlineStr">
        <is>
          <t>Création des 30+ fichiers de gouvernance : contexte, architecture, contrats API, design system, guides a11y/perf, journaux, handoffs, ADR, workflows</t>
        </is>
      </c>
      <c r="G6" s="27" t="inlineStr">
        <is>
          <t>Tech Lead (Agent 1) + Doc</t>
        </is>
      </c>
      <c r="H6" s="24" t="inlineStr">
        <is>
          <t>TERMINÉ</t>
        </is>
      </c>
      <c r="I6" s="28" t="n">
        <v>1</v>
      </c>
      <c r="J6" s="29" t="inlineStr">
        <is>
          <t>P1</t>
        </is>
      </c>
      <c r="K6" s="27" t="inlineStr">
        <is>
          <t>TASK-001</t>
        </is>
      </c>
      <c r="L6" s="27" t="inlineStr">
        <is>
          <t>.ai/** (30+ fichiers)</t>
        </is>
      </c>
      <c r="M6" s="27" t="inlineStr">
        <is>
          <t>Revue cohérence interne</t>
        </is>
      </c>
      <c r="N6" s="27" t="inlineStr">
        <is>
          <t>PASS</t>
        </is>
      </c>
      <c r="O6" s="27" t="n">
        <v>0</v>
      </c>
      <c r="P6" s="27" t="inlineStr">
        <is>
          <t>— (non commité à ce stade)</t>
        </is>
      </c>
      <c r="Q6" s="27" t="inlineStr">
        <is>
          <t>EN COURS (demandée à Reviewer)</t>
        </is>
      </c>
      <c r="R6" s="27" t="inlineStr">
        <is>
          <t>2026-10-25</t>
        </is>
      </c>
      <c r="S6" s="27" t="inlineStr">
        <is>
          <t>2026-10-25</t>
        </is>
      </c>
      <c r="T6" s="27" t="inlineStr">
        <is>
          <t>Conformité à la structure exigée par le protocole (section 4)</t>
        </is>
      </c>
    </row>
    <row r="7" ht="21.75" customHeight="1" s="19">
      <c r="B7" s="23" t="inlineStr">
        <is>
          <t>TASK-003</t>
        </is>
      </c>
      <c r="C7" s="23" t="inlineStr">
        <is>
          <t>BOOTSTRAP</t>
        </is>
      </c>
      <c r="D7" s="23" t="inlineStr">
        <is>
          <t>Prise en charge du projet</t>
        </is>
      </c>
      <c r="E7" s="23" t="inlineStr">
        <is>
          <t>Backlog central TASKS.xlsx + worklog.md</t>
        </is>
      </c>
      <c r="F7" s="23" t="inlineStr">
        <is>
          <t>Création du fichier de suivi central (19 colonnes normées) et du worklog partagé inter-agents</t>
        </is>
      </c>
      <c r="G7" s="23" t="inlineStr">
        <is>
          <t>QA (Agent 2)</t>
        </is>
      </c>
      <c r="H7" s="24" t="inlineStr">
        <is>
          <t>TERMINÉ</t>
        </is>
      </c>
      <c r="I7" s="25" t="n">
        <v>1</v>
      </c>
      <c r="J7" s="26" t="inlineStr">
        <is>
          <t>P1</t>
        </is>
      </c>
      <c r="K7" s="23" t="inlineStr">
        <is>
          <t>TASK-002</t>
        </is>
      </c>
      <c r="L7" s="23" t="inlineStr">
        <is>
          <t>.ai/TASKS.xlsx; worklog.md</t>
        </is>
      </c>
      <c r="M7" s="23" t="inlineStr">
        <is>
          <t>Validation structure (validate xlsx)</t>
        </is>
      </c>
      <c r="N7" s="23" t="inlineStr">
        <is>
          <t>PASS</t>
        </is>
      </c>
      <c r="O7" s="23" t="n">
        <v>0</v>
      </c>
      <c r="P7" s="23" t="inlineStr">
        <is>
          <t>—</t>
        </is>
      </c>
      <c r="Q7" s="23" t="inlineStr">
        <is>
          <t>EN COURS (demandée à Reviewer)</t>
        </is>
      </c>
      <c r="R7" s="23" t="inlineStr">
        <is>
          <t>2026-10-25</t>
        </is>
      </c>
      <c r="S7" s="23" t="inlineStr">
        <is>
          <t>2026-10-25</t>
        </is>
      </c>
      <c r="T7" s="23" t="inlineStr">
        <is>
          <t>Source de vérité du suivi ; miroir lisible : .ai/TASKS.md</t>
        </is>
      </c>
    </row>
    <row r="8" ht="21.75" customHeight="1" s="19">
      <c r="B8" s="27" t="inlineStr">
        <is>
          <t>TASK-004</t>
        </is>
      </c>
      <c r="C8" s="27" t="inlineStr">
        <is>
          <t>BOOTSTRAP</t>
        </is>
      </c>
      <c r="D8" s="27" t="inlineStr">
        <is>
          <t>Prise en charge du projet</t>
        </is>
      </c>
      <c r="E8" s="27" t="inlineStr">
        <is>
          <t>AUDIT GLOBAL #001 (baseline)</t>
        </is>
      </c>
      <c r="F8" s="27" t="inlineStr">
        <is>
          <t>Audit de référence : cohérence doc↔code, dette technique initiale, conformité système, santé multi-agents. Livrables : AUDIT-001 + AUDIT_REPORT + DEBT_REPORT + SYSTEM_COMPLIANCE</t>
        </is>
      </c>
      <c r="G8" s="27" t="inlineStr">
        <is>
          <t>Audit Global</t>
        </is>
      </c>
      <c r="H8" s="30" t="inlineStr">
        <is>
          <t>TERMINÉ</t>
        </is>
      </c>
      <c r="I8" s="28" t="n">
        <v>1</v>
      </c>
      <c r="J8" s="29" t="inlineStr">
        <is>
          <t>P1</t>
        </is>
      </c>
      <c r="K8" s="27" t="inlineStr">
        <is>
          <t>TASK-002, TASK-003</t>
        </is>
      </c>
      <c r="L8" s="27" t="inlineStr">
        <is>
          <t>.ai/AUDITS/AUDIT-001-2026-10-25.md; .ai/AUDIT_REPORT.md; .ai/DEBT_REPORT.md; .ai/SYSTEM_COMPLIANCE.md</t>
        </is>
      </c>
      <c r="M8" s="27" t="inlineStr">
        <is>
          <t>Auto-audit du système (checklist section 16)</t>
        </is>
      </c>
      <c r="N8" s="27" t="inlineStr">
        <is>
          <t>PASS</t>
        </is>
      </c>
      <c r="O8" s="27" t="n">
        <v>0</v>
      </c>
      <c r="P8" s="27" t="inlineStr">
        <is>
          <t>—</t>
        </is>
      </c>
      <c r="Q8" s="27" t="inlineStr">
        <is>
          <t>—</t>
        </is>
      </c>
      <c r="R8" s="27" t="inlineStr">
        <is>
          <t>2026-10-25</t>
        </is>
      </c>
      <c r="S8" s="27" t="inlineStr">
        <is>
          <t>2026-10-25</t>
        </is>
      </c>
      <c r="T8" s="27" t="inlineStr">
        <is>
          <t>AUDIT-001 publié : score global 70/100 · 0 CRITIQUE · 15 items de dette (7 MAJEUR/8 MINEUR) · Conformité système 58% · Verdict PROD : AUTORISÉ sous condition (AUDIT-002 avant 1re mise en prod réelle)</t>
        </is>
      </c>
    </row>
    <row r="9" ht="21.75" customHeight="1" s="19">
      <c r="B9" s="23" t="inlineStr">
        <is>
          <t>TASK-005</t>
        </is>
      </c>
      <c r="C9" s="23" t="inlineStr">
        <is>
          <t>PRODUIT</t>
        </is>
      </c>
      <c r="D9" s="23" t="inlineStr">
        <is>
          <t>Fonctionnalités à définir</t>
        </is>
      </c>
      <c r="E9" s="23" t="inlineStr">
        <is>
          <t>En attente des exigences CTO</t>
        </is>
      </c>
      <c r="F9" s="23" t="inlineStr">
        <is>
          <t>Aucune exigence fonctionnelle reçue. Dès réception : lifecycle complet Phase 0 (UX) → Phase 7 (rétro) + audit périodique</t>
        </is>
      </c>
      <c r="G9" s="23" t="inlineStr">
        <is>
          <t>QA (Agent 2) + Tech Lead</t>
        </is>
      </c>
      <c r="H9" s="37" t="inlineStr">
        <is>
          <t>TERMINÉ</t>
        </is>
      </c>
      <c r="I9" s="25" t="n">
        <v>1</v>
      </c>
      <c r="J9" s="26" t="inlineStr">
        <is>
          <t>P1</t>
        </is>
      </c>
      <c r="K9" s="23" t="inlineStr">
        <is>
          <t>TASK-004</t>
        </is>
      </c>
      <c r="L9" s="23" t="inlineStr">
        <is>
          <t>—</t>
        </is>
      </c>
      <c r="M9" s="23" t="inlineStr">
        <is>
          <t>—</t>
        </is>
      </c>
      <c r="N9" s="23" t="inlineStr">
        <is>
          <t>PASS</t>
        </is>
      </c>
      <c r="O9" s="23" t="n">
        <v>0</v>
      </c>
      <c r="P9" s="23" t="inlineStr">
        <is>
          <t>—</t>
        </is>
      </c>
      <c r="Q9" s="23" t="inlineStr">
        <is>
          <t>—</t>
        </is>
      </c>
      <c r="R9" s="23" t="inlineStr">
        <is>
          <t>—</t>
        </is>
      </c>
      <c r="S9" s="23" t="inlineStr">
        <is>
          <t>2026-10-25</t>
        </is>
      </c>
      <c r="T9" s="23" t="inlineStr">
        <is>
          <t>Contexte DevOS reçu ; exigences FR-001→010 + AC-001→012 + analyse d'écart plateforme enregistrées dans REQUIREMENTS.md</t>
        </is>
      </c>
    </row>
    <row r="10" ht="22" customHeight="1" s="19">
      <c r="B10" s="38" t="inlineStr">
        <is>
          <t>TASK-006</t>
        </is>
      </c>
      <c r="C10" s="38" t="inlineStr">
        <is>
          <t>PRODUIT</t>
        </is>
      </c>
      <c r="D10" s="38" t="inlineStr">
        <is>
          <t>DevOS — Assistant vocal proactif et rappels intelligents</t>
        </is>
      </c>
      <c r="E10" s="38" t="inlineStr">
        <is>
          <t>Lifecycle complet FEATURE-001 (Phase 0 UX → Phase 7 rétro)</t>
        </is>
      </c>
      <c r="F10" s="38" t="inlineStr">
        <is>
          <t>Implémentation du module adapté au sandbox web (ReminderScheduler, VoiceAssistantService, NotificationService, TextToSpeechProvider, VoicePreferencesRepository, EventListener, SyncIntegration simulée, AIOrchestrator + fallback préparé) — cf. REQUIREMENTS.md §3 et §5</t>
        </is>
      </c>
      <c r="G10" s="38" t="inlineStr">
        <is>
          <t>Équipe complète (Lead + Back + Front + QA + agents qualité)</t>
        </is>
      </c>
      <c r="H10" s="39" t="inlineStr">
        <is>
          <t>À FAIRE</t>
        </is>
      </c>
      <c r="I10" s="40" t="n">
        <v>0</v>
      </c>
      <c r="J10" s="41" t="inlineStr">
        <is>
          <t>P1</t>
        </is>
      </c>
      <c r="K10" s="38" t="inlineStr">
        <is>
          <t>TASK-005</t>
        </is>
      </c>
      <c r="L10" s="38" t="inlineStr">
        <is>
          <t>src/** (à créer) ; prisma/schema.prisma ; .ai/SPECS/FEATURE-001*</t>
        </is>
      </c>
      <c r="M10" s="38" t="inlineStr">
        <is>
          <t>Gherkin AC-001→012 + E2E navigateur</t>
        </is>
      </c>
      <c r="N10" s="38" t="inlineStr">
        <is>
          <t>—</t>
        </is>
      </c>
      <c r="O10" s="42" t="n">
        <v>0</v>
      </c>
      <c r="P10" s="38" t="inlineStr">
        <is>
          <t>—</t>
        </is>
      </c>
      <c r="Q10" s="38" t="inlineStr">
        <is>
          <t>—</t>
        </is>
      </c>
      <c r="R10" s="38" t="inlineStr">
        <is>
          <t>—</t>
        </is>
      </c>
      <c r="S10" s="38" t="inlineStr">
        <is>
          <t>—</t>
        </is>
      </c>
      <c r="T10" s="38" t="inlineStr">
        <is>
          <t>DÉCLENCHEMENT UNIQUEMENT À LA RÉCEPTION DU SIGNAL « GO » DU CTO</t>
        </is>
      </c>
    </row>
    <row r="11" ht="26" customHeight="1" s="19">
      <c r="B11" s="43" t="inlineStr">
        <is>
          <t>TOTAL</t>
        </is>
      </c>
      <c r="C11" s="43" t="inlineStr">
        <is>
          <t>6 tâches</t>
        </is>
      </c>
      <c r="D11" s="43" t="n"/>
      <c r="E11" s="43" t="n"/>
      <c r="F11" s="43" t="n"/>
      <c r="G11" s="43" t="n"/>
      <c r="H11" s="43" t="n"/>
      <c r="I11" s="44" t="n">
        <v>0.8333</v>
      </c>
      <c r="J11" s="43" t="n"/>
      <c r="K11" s="43" t="n"/>
      <c r="L11" s="43" t="n"/>
      <c r="M11" s="43" t="n"/>
      <c r="N11" s="43" t="n"/>
      <c r="O11" s="43" t="n">
        <v>0</v>
      </c>
      <c r="P11" s="43" t="n"/>
      <c r="Q11" s="43" t="n"/>
      <c r="R11" s="43" t="n"/>
      <c r="S11" s="43" t="n"/>
      <c r="T11" s="43" t="inlineStr">
        <is>
          <t>Terminées : 5 · En cours : 0 · À faire : 1 · Bloquées : 0</t>
        </is>
      </c>
    </row>
    <row r="12" ht="15" customHeight="1" s="19">
      <c r="B12" s="21" t="inlineStr">
        <is>
          <t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      </is>
      </c>
    </row>
    <row r="13">
      <c r="B13" s="45" t="inlineStr">
        <is>
          <t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      </is>
      </c>
    </row>
  </sheetData>
  <mergeCells count="1">
    <mergeCell ref="B2:T2"/>
  </mergeCells>
  <dataValidations count="2">
    <dataValidation sqref="H5:H29" showDropDown="0" showInputMessage="0" showErrorMessage="0" allowBlank="1" type="list" errorStyle="stop" operator="between">
      <formula1>"À FAIRE,EN COURS,TERMINÉ,BLOQUÉ"</formula1>
      <formula2>0</formula2>
    </dataValidation>
    <dataValidation sqref="J5:J29" showDropDown="0" showInputMessage="0" showErrorMessage="0" allowBlank="1" type="list" errorStyle="stop" operator="between">
      <formula1>"P0,P1,P2,P3,P4"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18" min="1" max="1"/>
    <col width="25" customWidth="1" style="18" min="2" max="2"/>
    <col width="28" customWidth="1" style="18" min="3" max="3"/>
    <col width="26" customWidth="1" style="18" min="4" max="4"/>
  </cols>
  <sheetData>
    <row r="1" ht="15" customHeight="1" s="19"/>
    <row r="2" ht="31.5" customHeight="1" s="19">
      <c r="B2" s="20" t="inlineStr">
        <is>
          <t>Statistiques du Backlog</t>
        </is>
      </c>
    </row>
    <row r="3" ht="7.5" customHeight="1" s="19"/>
    <row r="4" ht="27.75" customHeight="1" s="19">
      <c r="B4" s="22" t="inlineStr">
        <is>
          <t>Indicateur</t>
        </is>
      </c>
      <c r="C4" s="22" t="inlineStr">
        <is>
          <t>Valeur</t>
        </is>
      </c>
      <c r="D4" s="22" t="inlineStr">
        <is>
          <t>Source</t>
        </is>
      </c>
    </row>
    <row r="5" ht="21.75" customHeight="1" s="19">
      <c r="B5" s="23" t="inlineStr">
        <is>
          <t>Total tâches</t>
        </is>
      </c>
      <c r="C5" s="23" t="n">
        <v>6</v>
      </c>
      <c r="D5" s="23" t="inlineStr">
        <is>
          <t>Comptage lignes TASKS</t>
        </is>
      </c>
    </row>
    <row r="6" ht="21.75" customHeight="1" s="19">
      <c r="B6" s="27" t="inlineStr">
        <is>
          <t>Terminées</t>
        </is>
      </c>
      <c r="C6" s="27">
        <f>COUNTIF(TASKS!H5:H10,"TERMINÉ")</f>
        <v/>
      </c>
      <c r="D6" s="27" t="inlineStr">
        <is>
          <t>COUNTIF Statut</t>
        </is>
      </c>
    </row>
    <row r="7" ht="21.75" customHeight="1" s="19">
      <c r="B7" s="23" t="inlineStr">
        <is>
          <t>En cours</t>
        </is>
      </c>
      <c r="C7" s="23">
        <f>COUNTIF(TASKS!H5:H10,"EN COURS")</f>
        <v/>
      </c>
      <c r="D7" s="23" t="inlineStr">
        <is>
          <t>COUNTIF Statut</t>
        </is>
      </c>
    </row>
    <row r="8" ht="21.75" customHeight="1" s="19">
      <c r="B8" s="27" t="inlineStr">
        <is>
          <t>À faire</t>
        </is>
      </c>
      <c r="C8" s="27">
        <f>COUNTIF(TASKS!H5:H10,"À FAIRE")</f>
        <v/>
      </c>
      <c r="D8" s="27" t="inlineStr">
        <is>
          <t>COUNTIF Statut</t>
        </is>
      </c>
    </row>
    <row r="9" ht="21.75" customHeight="1" s="19">
      <c r="B9" s="23" t="inlineStr">
        <is>
          <t>Bloquées</t>
        </is>
      </c>
      <c r="C9" s="23">
        <f>COUNTIF(TASKS!H5:H10,"BLOQUÉ")</f>
        <v/>
      </c>
      <c r="D9" s="23" t="inlineStr">
        <is>
          <t>COUNTIF Statut</t>
        </is>
      </c>
    </row>
    <row r="10" ht="21.75" customHeight="1" s="19">
      <c r="B10" s="27" t="inlineStr">
        <is>
          <t>Bugs ouverts</t>
        </is>
      </c>
      <c r="C10" s="27">
        <f>SUM(TASKS!O5:O10)</f>
        <v/>
      </c>
      <c r="D10" s="27" t="inlineStr">
        <is>
          <t>SUM colonne Bugs</t>
        </is>
      </c>
    </row>
    <row r="11" ht="21.75" customHeight="1" s="19">
      <c r="B11" s="23" t="inlineStr">
        <is>
          <t>Progression moyenne</t>
        </is>
      </c>
      <c r="C11" s="34">
        <f>AVERAGE(TASKS!I5:I10)</f>
        <v/>
      </c>
      <c r="D11" s="23" t="inlineStr">
        <is>
          <t>AVERAGE colonne Progression</t>
        </is>
      </c>
    </row>
    <row r="12" ht="21.75" customHeight="1" s="19">
      <c r="B12" s="27" t="inlineStr">
        <is>
          <t>Score santé projet</t>
        </is>
      </c>
      <c r="C12" s="35" t="inlineStr">
        <is>
          <t>70 / 100 (AUDIT-001, 2026-10-25)</t>
        </is>
      </c>
      <c r="D12" s="27" t="inlineStr">
        <is>
          <t>.ai/AUDIT_REPORT.md</t>
        </is>
      </c>
    </row>
    <row r="13" ht="21.75" customHeight="1" s="19">
      <c r="B13" s="23" t="inlineStr">
        <is>
          <t>Dette technique (items)</t>
        </is>
      </c>
      <c r="C13" s="36" t="n">
        <v>15</v>
      </c>
      <c r="D13" s="23" t="inlineStr">
        <is>
          <t>.ai/DEBT_REPORT.md (7 MAJEUR / 8 MINEUR / 0 CRITIQUE)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2026-10-25T19:29:59Z</dcterms:created>
  <dcterms:modified xmlns:dcterms="http://purl.org/dc/terms/" xmlns:xsi="http://www.w3.org/2001/XMLSchema-instance" xsi:type="dcterms:W3CDTF">2026-10-25T20:06:36Z</dcterms:modified>
  <cp:revision>0</cp:revision>
</cp:coreProperties>
</file>