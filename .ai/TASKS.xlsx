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  <sheet name="STATISTIQUES" sheetId="2" state="visible" r:id="rId4"/>
  </sheets>
  <definedNames>
    <definedName function="false" hidden="false" localSheetId="0" name="_xlnm.Print_Titles" vbProcedure="false">TASKS!$4:$4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<sst xmlns="http://schemas.openxmlformats.org/spreadsheetml/2006/main" count="320" uniqueCount="191">
  <si>
    <t xml:space="preserve">Backlog Central — Système Multi-Agents</t>
  </si>
  <si>
    <t xml:space="preserve">Source de vérité du suivi · Mise à jour : 2026-10-25 · Projet : nextjs_tailwind_shadcn_ts v0.2.1</t>
  </si>
  <si>
    <t xml:space="preserve">ID</t>
  </si>
  <si>
    <t xml:space="preserve">Epic</t>
  </si>
  <si>
    <t xml:space="preserve">Fonctionnalité</t>
  </si>
  <si>
    <t xml:space="preserve">Sous-tâche</t>
  </si>
  <si>
    <t xml:space="preserve">Description</t>
  </si>
  <si>
    <t xml:space="preserve">Rôle Assigné</t>
  </si>
  <si>
    <t xml:space="preserve">Statut</t>
  </si>
  <si>
    <t xml:space="preserve">Progression</t>
  </si>
  <si>
    <t xml:space="preserve">Priorité</t>
  </si>
  <si>
    <t xml:space="preserve">Dépendance Inter-Agents</t>
  </si>
  <si>
    <t xml:space="preserve">Fichiers concernés</t>
  </si>
  <si>
    <t xml:space="preserve">Tests</t>
  </si>
  <si>
    <t xml:space="preserve">Résultat test</t>
  </si>
  <si>
    <t xml:space="preserve">Bugs</t>
  </si>
  <si>
    <t xml:space="preserve">Commits liés</t>
  </si>
  <si>
    <t xml:space="preserve">Review Status</t>
  </si>
  <si>
    <t xml:space="preserve">Date début</t>
  </si>
  <si>
    <t xml:space="preserve">Date fin</t>
  </si>
  <si>
    <t xml:space="preserve">Commentaires</t>
  </si>
  <si>
    <t xml:space="preserve">TASK-001</t>
  </si>
  <si>
    <t xml:space="preserve">BOOTSTRAP</t>
  </si>
  <si>
    <t xml:space="preserve">Prise en charge du projet</t>
  </si>
  <si>
    <t xml:space="preserve">Analyse complète du codebase</t>
  </si>
  <si>
    <t xml:space="preserve">Scan arborescence + lecture fichiers critiques (package.json, page.tsx, layout.tsx, api/route.ts, schema.prisma, db.ts, next.config.ts, Caddyfile, eslint.config.mjs, globals.css) + vérification runtime (dev.log, GET / 200)</t>
  </si>
  <si>
    <t xml:space="preserve">Tech Lead (Agent 1)</t>
  </si>
  <si>
    <t xml:space="preserve">TERMINÉ</t>
  </si>
  <si>
    <t xml:space="preserve">P1</t>
  </si>
  <si>
    <t xml:space="preserve">Aucune</t>
  </si>
  <si>
    <t xml:space="preserve">package.json; src/app/*; prisma/schema.prisma; src/lib/db.ts; next.config.ts; eslint.config.mjs; Caddyfile</t>
  </si>
  <si>
    <t xml:space="preserve">Inspection manuelle + smoke tests S1-S4</t>
  </si>
  <si>
    <t xml:space="preserve">PASS</t>
  </si>
  <si>
    <t xml:space="preserve">— (lecture seule)</t>
  </si>
  <si>
    <t xml:space="preserve">NON REQUISE (analyse)</t>
  </si>
  <si>
    <t xml:space="preserve">2026-10-25</t>
  </si>
  <si>
    <t xml:space="preserve">Projet = scaffold vierge sans code métier. Constats tracés dans PROJECT_CONTEXT.md §6</t>
  </si>
  <si>
    <t xml:space="preserve">TASK-002</t>
  </si>
  <si>
    <t xml:space="preserve">Dossier de pilotage .ai/ (gouvernance)</t>
  </si>
  <si>
    <t xml:space="preserve">Création des 30+ fichiers de gouvernance : contexte, architecture, contrats API, design system, guides a11y/perf, journaux, handoffs, ADR, workflows</t>
  </si>
  <si>
    <t xml:space="preserve">Tech Lead (Agent 1) + Doc</t>
  </si>
  <si>
    <t xml:space="preserve">.ai/** (30+ fichiers)</t>
  </si>
  <si>
    <t xml:space="preserve">Revue cohérence interne</t>
  </si>
  <si>
    <t xml:space="preserve">— (non commité à ce stade)</t>
  </si>
  <si>
    <t xml:space="preserve">EN COURS (demandée à Reviewer)</t>
  </si>
  <si>
    <t xml:space="preserve">Conformité à la structure exigée par le protocole (section 4)</t>
  </si>
  <si>
    <t xml:space="preserve">TASK-003</t>
  </si>
  <si>
    <t xml:space="preserve">Backlog central TASKS.xlsx + worklog.md</t>
  </si>
  <si>
    <t xml:space="preserve">Création du fichier de suivi central (19 colonnes normées) et du worklog partagé inter-agents</t>
  </si>
  <si>
    <t xml:space="preserve">QA (Agent 2)</t>
  </si>
  <si>
    <t xml:space="preserve">.ai/TASKS.xlsx; worklog.md</t>
  </si>
  <si>
    <t xml:space="preserve">Validation structure (validate xlsx)</t>
  </si>
  <si>
    <t xml:space="preserve">—</t>
  </si>
  <si>
    <t xml:space="preserve">Source de vérité du suivi ; miroir lisible : .ai/TASKS.md</t>
  </si>
  <si>
    <t xml:space="preserve">TASK-004</t>
  </si>
  <si>
    <t xml:space="preserve">AUDIT GLOBAL #001 (baseline)</t>
  </si>
  <si>
    <t xml:space="preserve">Audit de référence : cohérence doc↔code, dette technique initiale, conformité système, santé multi-agents. Livrables : AUDIT-001 + AUDIT_REPORT + DEBT_REPORT + SYSTEM_COMPLIANCE</t>
  </si>
  <si>
    <t xml:space="preserve">Audit Global</t>
  </si>
  <si>
    <t xml:space="preserve">TASK-002, TASK-003</t>
  </si>
  <si>
    <t xml:space="preserve">.ai/AUDITS/AUDIT-001-2026-10-25.md; .ai/AUDIT_REPORT.md; .ai/DEBT_REPORT.md; .ai/SYSTEM_COMPLIANCE.md</t>
  </si>
  <si>
    <t xml:space="preserve">Auto-audit du système (checklist section 16)</t>
  </si>
  <si>
    <t xml:space="preserve">AUDIT-001 publié : score global 70/100 · 0 CRITIQUE · 15 items de dette (7 MAJEUR/8 MINEUR) · Conformité système 58% · Verdict PROD : AUTORISÉ sous condition (AUDIT-002 avant 1re mise en prod réelle)</t>
  </si>
  <si>
    <t xml:space="preserve">TASK-005</t>
  </si>
  <si>
    <t xml:space="preserve">PRODUIT</t>
  </si>
  <si>
    <t xml:space="preserve">Fonctionnalités à définir</t>
  </si>
  <si>
    <t xml:space="preserve">En attente des exigences CTO</t>
  </si>
  <si>
    <t xml:space="preserve">Aucune exigence fonctionnelle reçue. Dès réception : lifecycle complet Phase 0 (UX) → Phase 7 (rétro) + audit périodique</t>
  </si>
  <si>
    <t xml:space="preserve">QA (Agent 2) + Tech Lead</t>
  </si>
  <si>
    <t xml:space="preserve">Contexte DevOS reçu ; exigences FR-001→010 + AC-001→012 + analyse d'écart plateforme enregistrées dans REQUIREMENTS.md</t>
  </si>
  <si>
    <t xml:space="preserve">TASK-006</t>
  </si>
  <si>
    <t xml:space="preserve">DevOS — Assistant vocal proactif et rappels intelligents</t>
  </si>
  <si>
    <t xml:space="preserve">Lifecycle complet FEATURE-001 (Phase 0 UX → Phase 7 rétro)</t>
  </si>
  <si>
    <t xml:space="preserve">Implémentation du module adapté au sandbox web (ReminderScheduler, VoiceAssistantService, NotificationService, TextToSpeechProvider, VoicePreferencesRepository, EventListener, SyncIntegration simulée, AIOrchestrator + fallback préparé) — cf. REQUIREMENTS.md §3 et §5</t>
  </si>
  <si>
    <t xml:space="preserve">Équipe complète (Lead + Back + Front + QA + agents qualité)</t>
  </si>
  <si>
    <t xml:space="preserve">src/** (à créer) ; prisma/schema.prisma ; .ai/SPECS/FEATURE-001*</t>
  </si>
  <si>
    <t xml:space="preserve">Gherkin AC-001→012 + E2E navigateur</t>
  </si>
  <si>
    <t xml:space="preserve">7ddb0c9, f2485b5, eb1a3d9 + docs</t>
  </si>
  <si>
    <t xml:space="preserve">REV-003 APPROUVÉE</t>
  </si>
  <si>
    <t xml:space="preserve">FEATURE-001 livrée de bout en bout (M1→M7) ; E2E navigateur validé avec preuves ; revue REV-003 approuvée</t>
  </si>
  <si>
    <t xml:space="preserve">TASK-007</t>
  </si>
  <si>
    <t xml:space="preserve">DevOS — Assistant vocal proactif</t>
  </si>
  <si>
    <t xml:space="preserve">M1 — Préférences vocales (schéma + API + UI 9 réglages)</t>
  </si>
  <si>
    <t xml:space="preserve">Modèle VoicePreferences (singleton, défauts actifs AC-001), GET/PUT /api/voice-preferences (Zod strict), écran Paramètres 9 réglages FR-006 persistés serveur + miroir localStorage</t>
  </si>
  <si>
    <t xml:space="preserve">Backend+Frontend</t>
  </si>
  <si>
    <t xml:space="preserve">TASK-006 (contrat API v1)</t>
  </si>
  <si>
    <t xml:space="preserve">prisma/schema.prisma; src/app/api/voice-preferences/; src/components/assistant/settings-screen.tsx; src/hooks/use-voice-assistant.ts</t>
  </si>
  <si>
    <t xml:space="preserve">curl PUT prefs (400 invalide) + E2E réglages persistés vérifiés après reload (AC-005)</t>
  </si>
  <si>
    <t xml:space="preserve">7ddb0c9 + f2485b5</t>
  </si>
  <si>
    <t xml:space="preserve">Volume 0..1, offsets 1..10080, HH:mm, jours CSV validés serveur</t>
  </si>
  <si>
    <t xml:space="preserve">TASK-008</t>
  </si>
  <si>
    <t xml:space="preserve">M2 — Scheduler + Notifications (tick, dédup, Web Notifications)</t>
  </si>
  <si>
    <t xml:space="preserve">POST /api/assistant/tick (état dérivé, ADR-002), hook client tick 30 s + tick immédiat, Web Notifications API permission explicite + bannière, dédup ReminderLog</t>
  </si>
  <si>
    <t xml:space="preserve">src/lib/assistant/scheduler.ts; src/app/api/assistant/tick/; src/lib/assistant/notifications.ts; src/hooks/use-voice-assistant.ts</t>
  </si>
  <si>
    <t xml:space="preserve">tick idempotent ×2 (2e = []) + E2E rappel « dans 15 minutes » (AC-002) + anti-frénésie new_task 29 s (FR-002)</t>
  </si>
  <si>
    <t xml:space="preserve">Raison anti_frenesie tracée en DB ; fenêtre de grâce 15 min</t>
  </si>
  <si>
    <t xml:space="preserve">TASK-009</t>
  </si>
  <si>
    <t xml:space="preserve">M3 — TTS Web Speech + messages préparés</t>
  </si>
  <si>
    <t xml:space="preserve">File speechSynthesis séquentielle (voix locales, zéro réseau), templates FR ×3 styles fidèles aux faits, reformulation LLM optionnelle</t>
  </si>
  <si>
    <t xml:space="preserve">Frontend</t>
  </si>
  <si>
    <t xml:space="preserve">TASK-007, TASK-008</t>
  </si>
  <si>
    <t xml:space="preserve">src/lib/assistant/{tts,templates}.ts; src/lib/assistant/ai.ts; src/components/assistant/assistant-panel.tsx</t>
  </si>
  <si>
    <t xml:space="preserve">E2E annonces prononcées + test-voice (AC-004 : 3 styles + reformulation IA fidèle aux faits)</t>
  </si>
  <si>
    <t xml:space="preserve">f2485b5</t>
  </si>
  <si>
    <t xml:space="preserve">Repli toast si synthèse indisponible ; jamais de crash si API absente</t>
  </si>
  <si>
    <t xml:space="preserve">TASK-010</t>
  </si>
  <si>
    <t xml:space="preserve">M4 — EventListener tâches/échéances/priorités</t>
  </si>
  <si>
    <t xml:space="preserve">Annonces new_task / deadline / priority générées par le tick (types séparés, bucket priorité 1/jour/tâche, catégorie autorisée)</t>
  </si>
  <si>
    <t xml:space="preserve">Backend</t>
  </si>
  <si>
    <t xml:space="preserve">src/lib/assistant/scheduler.ts; src/app/api/tasks/**</t>
  </si>
  <si>
    <t xml:space="preserve">E2E 3 types d'annonces séparés (AC-003) + priorités (AC-012)</t>
  </si>
  <si>
    <t xml:space="preserve">7ddb0c9</t>
  </si>
  <si>
    <t xml:space="preserve">Recalcul automatique après mutation tâche (AC-007 : terminée → plus rien)</t>
  </si>
  <si>
    <t xml:space="preserve">TASK-011</t>
  </si>
  <si>
    <t xml:space="preserve">M5 — Heures silencieuses + anti-doublons</t>
  </si>
  <si>
    <t xml:space="preserve">Heures silencieuses wrap minuit + jours CSV, override urgences, spoken=false jamais rejouée, anti-doublons @@unique([taskId,type,scheduledFor]) + snooze→retrigger</t>
  </si>
  <si>
    <t xml:space="preserve">Backend+QA</t>
  </si>
  <si>
    <t xml:space="preserve">src/lib/assistant/{scheduler,quiet-hours}.ts; prisma/schema.prisma (ReminderLog)</t>
  </si>
  <si>
    <t xml:space="preserve">E2E 70 s / 2+ ticks sans doublon (AC-008) + badge « Silencieux — non prononcée » + DB status='expire' (AC-009)</t>
  </si>
  <si>
    <t xml:space="preserve">Snooze UI → DB status='reporte' + snoozedUntil, re-déclenchement à l'échéance</t>
  </si>
  <si>
    <t xml:space="preserve">TASK-012</t>
  </si>
  <si>
    <t xml:space="preserve">M6 — AIOrchestrator LLM + fallback templates</t>
  </si>
  <si>
    <t xml:space="preserve">Reformulation LLM serveur (z-ai SDK), prompt système strict anti-invention, timeout 4 s, fallback template automatique, privacyMode (faits filtrés)</t>
  </si>
  <si>
    <t xml:space="preserve">Backend+Sécurité</t>
  </si>
  <si>
    <t xml:space="preserve">TASK-008, TASK-009</t>
  </si>
  <si>
    <t xml:space="preserve">src/lib/assistant/ai.ts; src/lib/assistant/templates.ts</t>
  </si>
  <si>
    <t xml:space="preserve">test-voice source ia/template + fallback 429 observé → template (AC-012 : templates d'abord, LLM décoratif)</t>
  </si>
  <si>
    <t xml:space="preserve">3 bugs corrigés en revue interne : 429 séquentiel, fuite privacyMode, urgent retrigger</t>
  </si>
  <si>
    <t xml:space="preserve">TASK-013</t>
  </si>
  <si>
    <t xml:space="preserve">M7 — Sync + ADR arrière-plan Android/Linux (documenté)</t>
  </si>
  <si>
    <t xml:space="preserve">Sandbox : sync = état dérivé recalculé par tick ; arrière-plan natif Android (WorkManager/AlarmManager) et Linux (systemd) non réalisables ici → ADR-001 documenté, aucune simulation trompeuse</t>
  </si>
  <si>
    <t xml:space="preserve">TechLead+Doc</t>
  </si>
  <si>
    <t xml:space="preserve">ADR-001, ADR-002</t>
  </si>
  <si>
    <t xml:space="preserve">.ai/ADR/ADR-001-adaptation-plateforme.md; .ai/ADR/ADR-002-scheduler-independant-ia.md</t>
  </si>
  <si>
    <t xml:space="preserve">Revue documentaire ADR-001 (AC-011 = N/A justifié, hors sandbox)</t>
  </si>
  <si>
    <t xml:space="preserve">N/A justifié</t>
  </si>
  <si>
    <t xml:space="preserve">docs — session clôture</t>
  </si>
  <si>
    <t xml:space="preserve">ADR cible Flutter à produire dans le dépôt cible</t>
  </si>
  <si>
    <t xml:space="preserve">TASK-014</t>
  </si>
  <si>
    <t xml:space="preserve">Phase 5/6 — E2E navigateur + journaux + commits</t>
  </si>
  <si>
    <t xml:space="preserve">Campagne E2E navigateur FEATURE-001 (AC-002→005, 008→010, 012, FR-002 ; mobile 390px, 0 erreur console/page), journaux (TEST_PLAN, REVIEW_LOG, CHANGELOG, DAILY_STANDUP, TEAM_STATUS), TASKS.xlsx/md, session de commits conventionnels</t>
  </si>
  <si>
    <t xml:space="preserve">QA+DOC+COMMIT</t>
  </si>
  <si>
    <t xml:space="preserve">TASK-007→013, REV-003</t>
  </si>
  <si>
    <t xml:space="preserve">.ai/TEST_PLAN.md; .ai/REVIEW_LOG.md; .ai/CHANGELOG.md; .ai/TASKS.xlsx; .ai/COMMIT_LOG.md; worklog.md</t>
  </si>
  <si>
    <t xml:space="preserve">E2E agent-browser complet + validate xlsx passed + git log conventionnel</t>
  </si>
  <si>
    <t xml:space="preserve">Lint exit 0 · tsc 0 erreur · headers sécurité actifs · GET / 200</t>
  </si>
  <si>
    <t xml:space="preserve">TASK-015</t>
  </si>
  <si>
    <t xml:space="preserve">DevOS — Authentification (FEATURE-AUTH, Task 22)</t>
  </si>
  <si>
    <t xml:space="preserve">Système auth JWT/bcrypt + scopage multi-utilisateurs intégral (ADR-003, next-auth proscrit DEBT-016)</t>
  </si>
  <si>
    <t xml:space="preserve">Session maison : /api/auth/register|login|logout|me (bcrypt c10, JWT HS256 jose TTL 7j, cookie httpOnly, secret .env) ; User.passwordHash, Task.userId, VoicePreferences.userId (fin singleton) ; scheduler par utilisateur ; AuthGate UI + déconnexion + expiration 401</t>
  </si>
  <si>
    <t xml:space="preserve">ORCHESTRATEUR (CTO)</t>
  </si>
  <si>
    <t xml:space="preserve">DEBT-016 (proscription next-auth), AUDIT-002</t>
  </si>
  <si>
    <t xml:space="preserve">prisma/schema.prisma; src/lib/auth.ts; src/app/api/auth/*; 6 routes métier; scheduler.ts; use-session.ts; use-voice-assistant.ts; auth-gate.tsx; dev-os-app.tsx; page.tsx</t>
  </si>
  <si>
    <t xml:space="preserve">18 tests curl (register/me/401/tâche/tick/prefs/logout/login 401/doublon 409/faible 400/isolation Bob→Alice 404) + E2E navigateur (inscription→app→déconnexion→connexion→tâche UI) + responsive</t>
  </si>
  <si>
    <t xml:space="preserve">67897bf (code), e22aee5 (docs)</t>
  </si>
  <si>
    <t xml:space="preserve">Auto-revue CTO — AUDIT-003 planifié</t>
  </si>
  <si>
    <t xml:space="preserve">lint 0 · console navigateur propre · DB purgée pour migration (DEBT-020) · DEBT-021 ouvert (rate limiting)</t>
  </si>
  <si>
    <t xml:space="preserve">TASK-016</t>
  </si>
  <si>
    <t xml:space="preserve">DevOS — Authentification (FEATURE-AUTH)</t>
  </si>
  <si>
    <t xml:space="preserve">AUDIT GLOBAL #003 post-FEATURE-AUTH (Task 24)</t>
  </si>
  <si>
    <t xml:space="preserve">Audit global 10 dimensions (méthodologie AUDIT-002 réutilisée) : gates lint/tsc/curl/git, 24 vérifications curl auth + isolation inter-users ×2, ADR-003 + contrats v1.1, plan d'action AUDIT-002 §9 (deps next 16.4.3 / zod 4.6.7 / next-auth retiré — bun audit 0 CRITIQUE, CSP, vague 2 ESLint, purge DB), DEBT-021 confirmé OUVERT. Livrables : AUDITS/AUDIT-003-2026-10-25.md, AUDIT_REPORT.md, DEBT_REPORT.md, SYSTEM_COMPLIANCE.md</t>
  </si>
  <si>
    <t xml:space="preserve">Audit Global (+ soldes CTO Task 23 / 24-ter / 24-quater)</t>
  </si>
  <si>
    <t xml:space="preserve">TASK-015 (FEATURE-AUTH), règle « audit après chaque feature », AUDIT-002 §9</t>
  </si>
  <si>
    <t xml:space="preserve">.ai/AUDITS/AUDIT-003-2026-10-25.md; .ai/AUDIT_REPORT.md; .ai/DEBT_REPORT.md; .ai/SYSTEM_COMPLIANCE.md; .ai/COMMIT_LOG.md</t>
  </si>
  <si>
    <t xml:space="preserve">bun run lint exit 0 · bunx tsc exit 2 (4 erreurs seed) → exit 0 après fix (DEBT-022, Task 24-ter) · bun audit 0 CRITIQUE · 24 vérifications curl (cycle auth complet + isolation inter-users B→A : 404 génériques) · E2E navigateur Task 23 (inscription → app → déconnexion → reconnexion, 0 erreur console)</t>
  </si>
  <si>
    <t xml:space="preserve">audit pur — 0 code applicatif modifié ; commit gouvernance de clôture (fin de session Task 24/25)</t>
  </si>
  <si>
    <t xml:space="preserve">Verdict AUTORISÉ SOUS CONDITION — 77/100 stable vs AUDIT-002 · sécurité +16 (78) · conditions n°1 (seed/tsc) et DEBT-019 soldées immédiatement · REV-004 rétrospective J+1</t>
  </si>
  <si>
    <t xml:space="preserve">0 CRITIQUE · 2 MAJEUR · 5 MINEUR · dette 22 items (14 TRAITÉ) · restant avant prod réelle : CSP (DEBT-013) + rate limiting (DEBT-021) + purge 6 comptes de démo (DEBT-020)</t>
  </si>
  <si>
    <t xml:space="preserve">TOTAL</t>
  </si>
  <si>
    <t xml:space="preserve">16 tâches</t>
  </si>
  <si>
    <t xml:space="preserve">Terminées : 16 · En cours : 0 · À faire : 0 · Bloquées : 0</t>
  </si>
  <si>
    <t xml:space="preserve">Règles de dépendance : Frontend bloqué tant que contrat API non validé · Backend bloqué sur auth/permissions tant que Security non validé · Aucune tâche TERMINÉE sans commits propres + revue positive · Frontend : + validation a11y + perf · Aucune livraison PROD sans audit global ≥ 60/100.</t>
  </si>
  <si>
    <t xml:space="preserve">Statistiques du Backlog</t>
  </si>
  <si>
    <t xml:space="preserve">Indicateur</t>
  </si>
  <si>
    <t xml:space="preserve">Valeur</t>
  </si>
  <si>
    <t xml:space="preserve">Source</t>
  </si>
  <si>
    <t xml:space="preserve">Total tâches</t>
  </si>
  <si>
    <t xml:space="preserve">Comptage lignes TASKS</t>
  </si>
  <si>
    <t xml:space="preserve">Terminées</t>
  </si>
  <si>
    <t xml:space="preserve">COUNTIF Statut</t>
  </si>
  <si>
    <t xml:space="preserve">En cours</t>
  </si>
  <si>
    <t xml:space="preserve">À faire</t>
  </si>
  <si>
    <t xml:space="preserve">Bloquées</t>
  </si>
  <si>
    <t xml:space="preserve">Bugs ouverts</t>
  </si>
  <si>
    <t xml:space="preserve">SUM colonne Bugs</t>
  </si>
  <si>
    <t xml:space="preserve">Progression moyenne</t>
  </si>
  <si>
    <t xml:space="preserve">AVERAGE colonne Progression</t>
  </si>
  <si>
    <t xml:space="preserve">Score santé projet</t>
  </si>
  <si>
    <t xml:space="preserve">77 / 100 (AUDIT-003) · AUTORISÉ SOUS CONDITION (conditions 022/019 soldées)</t>
  </si>
  <si>
    <t xml:space="preserve">.ai/AUDIT_REPORT.md</t>
  </si>
  <si>
    <t xml:space="preserve">Dette technique (items)</t>
  </si>
  <si>
    <t xml:space="preserve">.ai/DEBT_REPORT.md (14 TRAITÉ · 3 EN COURS · 1 REPORTÉ · 1 ACCEPTÉE · 3 OUVERTS)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</si>
</sst>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9"/>
      <color rgb="FF8C8A84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b val="true"/>
      <sz val="10"/>
      <color rgb="FF1B7D46"/>
      <name val="Noto Sans CJK SC"/>
      <family val="0"/>
      <charset val="1"/>
    </font>
    <font>
      <b val="true"/>
      <sz val="10"/>
      <color rgb="FFD4820A"/>
      <name val="Noto Sans CJK SC"/>
      <family val="0"/>
      <charset val="1"/>
    </font>
    <font>
      <b val="true"/>
      <sz val="10"/>
      <color rgb="FF1B7D46"/>
      <name val="Cambria"/>
      <family val="0"/>
      <charset val="1"/>
    </font>
    <font>
      <sz val="10"/>
      <name val="Noto Sans CJK SC"/>
      <family val="0"/>
      <charset val="1"/>
    </font>
    <font>
      <b val="true"/>
      <sz val="10"/>
      <color rgb="FF8C8A84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9"/>
      <color rgb="FF8C8A84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E8F5E9"/>
        <bgColor rgb="FFE9E9E8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1"/>
    <col collapsed="false" customWidth="true" hidden="false" outlineLevel="0" max="4" min="4" style="1" width="27"/>
    <col collapsed="false" customWidth="true" hidden="false" outlineLevel="0" max="5" min="5" style="1" width="34"/>
    <col collapsed="false" customWidth="true" hidden="false" outlineLevel="0" max="6" min="6" style="1" width="40"/>
    <col collapsed="false" customWidth="true" hidden="false" outlineLevel="0" max="7" min="7" style="1" width="27"/>
    <col collapsed="false" customWidth="true" hidden="false" outlineLevel="0" max="8" min="8" style="1" width="10"/>
    <col collapsed="false" customWidth="true" hidden="false" outlineLevel="0" max="10" min="9" style="1" width="8"/>
    <col collapsed="false" customWidth="true" hidden="false" outlineLevel="0" max="12" min="11" style="1" width="34"/>
    <col collapsed="false" customWidth="true" hidden="false" outlineLevel="0" max="13" min="13" style="1" width="28"/>
    <col collapsed="false" customWidth="true" hidden="false" outlineLevel="0" max="14" min="14" style="1" width="12"/>
    <col collapsed="false" customWidth="true" hidden="false" outlineLevel="0" max="15" min="15" style="1" width="8"/>
    <col collapsed="false" customWidth="true" hidden="false" outlineLevel="0" max="17" min="16" style="1" width="28"/>
    <col collapsed="false" customWidth="true" hidden="false" outlineLevel="0" max="18" min="18" style="1" width="12"/>
    <col collapsed="false" customWidth="true" hidden="false" outlineLevel="0" max="19" min="19" style="1" width="38"/>
    <col collapsed="false" customWidth="true" hidden="false" outlineLevel="0" max="20" min="20" style="1" width="28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7.5" hidden="false" customHeight="true" outlineLevel="0" collapsed="false">
      <c r="B3" s="3" t="s">
        <v>1</v>
      </c>
    </row>
    <row r="4" customFormat="false" ht="27.7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</row>
    <row r="5" customFormat="false" ht="21.75" hidden="false" customHeight="true" outlineLevel="0" collapsed="false"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6" t="s">
        <v>27</v>
      </c>
      <c r="I5" s="7" t="n">
        <v>1</v>
      </c>
      <c r="J5" s="8" t="s">
        <v>28</v>
      </c>
      <c r="K5" s="5" t="s">
        <v>29</v>
      </c>
      <c r="L5" s="5" t="s">
        <v>30</v>
      </c>
      <c r="M5" s="5" t="s">
        <v>31</v>
      </c>
      <c r="N5" s="5" t="s">
        <v>32</v>
      </c>
      <c r="O5" s="5" t="n">
        <v>0</v>
      </c>
      <c r="P5" s="5" t="s">
        <v>33</v>
      </c>
      <c r="Q5" s="5" t="s">
        <v>34</v>
      </c>
      <c r="R5" s="5" t="s">
        <v>35</v>
      </c>
      <c r="S5" s="5" t="s">
        <v>35</v>
      </c>
      <c r="T5" s="5" t="s">
        <v>36</v>
      </c>
    </row>
    <row r="6" customFormat="false" ht="21.75" hidden="false" customHeight="true" outlineLevel="0" collapsed="false">
      <c r="B6" s="9" t="s">
        <v>37</v>
      </c>
      <c r="C6" s="9" t="s">
        <v>22</v>
      </c>
      <c r="D6" s="9" t="s">
        <v>23</v>
      </c>
      <c r="E6" s="9" t="s">
        <v>38</v>
      </c>
      <c r="F6" s="9" t="s">
        <v>39</v>
      </c>
      <c r="G6" s="9" t="s">
        <v>40</v>
      </c>
      <c r="H6" s="6" t="s">
        <v>27</v>
      </c>
      <c r="I6" s="10" t="n">
        <v>1</v>
      </c>
      <c r="J6" s="11" t="s">
        <v>28</v>
      </c>
      <c r="K6" s="9" t="s">
        <v>21</v>
      </c>
      <c r="L6" s="9" t="s">
        <v>41</v>
      </c>
      <c r="M6" s="9" t="s">
        <v>42</v>
      </c>
      <c r="N6" s="9" t="s">
        <v>32</v>
      </c>
      <c r="O6" s="9" t="n">
        <v>0</v>
      </c>
      <c r="P6" s="9" t="s">
        <v>43</v>
      </c>
      <c r="Q6" s="9" t="s">
        <v>44</v>
      </c>
      <c r="R6" s="9" t="s">
        <v>35</v>
      </c>
      <c r="S6" s="9" t="s">
        <v>35</v>
      </c>
      <c r="T6" s="9" t="s">
        <v>45</v>
      </c>
    </row>
    <row r="7" customFormat="false" ht="21.75" hidden="false" customHeight="true" outlineLevel="0" collapsed="false">
      <c r="B7" s="5" t="s">
        <v>46</v>
      </c>
      <c r="C7" s="5" t="s">
        <v>22</v>
      </c>
      <c r="D7" s="5" t="s">
        <v>23</v>
      </c>
      <c r="E7" s="5" t="s">
        <v>47</v>
      </c>
      <c r="F7" s="5" t="s">
        <v>48</v>
      </c>
      <c r="G7" s="5" t="s">
        <v>49</v>
      </c>
      <c r="H7" s="6" t="s">
        <v>27</v>
      </c>
      <c r="I7" s="7" t="n">
        <v>1</v>
      </c>
      <c r="J7" s="8" t="s">
        <v>28</v>
      </c>
      <c r="K7" s="5" t="s">
        <v>37</v>
      </c>
      <c r="L7" s="5" t="s">
        <v>50</v>
      </c>
      <c r="M7" s="5" t="s">
        <v>51</v>
      </c>
      <c r="N7" s="5" t="s">
        <v>32</v>
      </c>
      <c r="O7" s="5" t="n">
        <v>0</v>
      </c>
      <c r="P7" s="5" t="s">
        <v>52</v>
      </c>
      <c r="Q7" s="5" t="s">
        <v>44</v>
      </c>
      <c r="R7" s="5" t="s">
        <v>35</v>
      </c>
      <c r="S7" s="5" t="s">
        <v>35</v>
      </c>
      <c r="T7" s="5" t="s">
        <v>53</v>
      </c>
    </row>
    <row r="8" customFormat="false" ht="21.75" hidden="false" customHeight="true" outlineLevel="0" collapsed="false">
      <c r="B8" s="9" t="s">
        <v>54</v>
      </c>
      <c r="C8" s="9" t="s">
        <v>22</v>
      </c>
      <c r="D8" s="9" t="s">
        <v>23</v>
      </c>
      <c r="E8" s="9" t="s">
        <v>55</v>
      </c>
      <c r="F8" s="9" t="s">
        <v>56</v>
      </c>
      <c r="G8" s="9" t="s">
        <v>57</v>
      </c>
      <c r="H8" s="12" t="s">
        <v>27</v>
      </c>
      <c r="I8" s="10" t="n">
        <v>1</v>
      </c>
      <c r="J8" s="11" t="s">
        <v>28</v>
      </c>
      <c r="K8" s="9" t="s">
        <v>58</v>
      </c>
      <c r="L8" s="9" t="s">
        <v>59</v>
      </c>
      <c r="M8" s="9" t="s">
        <v>60</v>
      </c>
      <c r="N8" s="9" t="s">
        <v>32</v>
      </c>
      <c r="O8" s="9" t="n">
        <v>0</v>
      </c>
      <c r="P8" s="9" t="s">
        <v>52</v>
      </c>
      <c r="Q8" s="9" t="s">
        <v>52</v>
      </c>
      <c r="R8" s="9" t="s">
        <v>35</v>
      </c>
      <c r="S8" s="9" t="s">
        <v>35</v>
      </c>
      <c r="T8" s="9" t="s">
        <v>61</v>
      </c>
    </row>
    <row r="9" customFormat="false" ht="21.75" hidden="false" customHeight="true" outlineLevel="0" collapsed="false">
      <c r="B9" s="5" t="s">
        <v>62</v>
      </c>
      <c r="C9" s="5" t="s">
        <v>63</v>
      </c>
      <c r="D9" s="5" t="s">
        <v>64</v>
      </c>
      <c r="E9" s="5" t="s">
        <v>65</v>
      </c>
      <c r="F9" s="5" t="s">
        <v>66</v>
      </c>
      <c r="G9" s="5" t="s">
        <v>67</v>
      </c>
      <c r="H9" s="6" t="s">
        <v>27</v>
      </c>
      <c r="I9" s="7" t="n">
        <v>1</v>
      </c>
      <c r="J9" s="8" t="s">
        <v>28</v>
      </c>
      <c r="K9" s="5" t="s">
        <v>54</v>
      </c>
      <c r="L9" s="5" t="s">
        <v>52</v>
      </c>
      <c r="M9" s="5" t="s">
        <v>52</v>
      </c>
      <c r="N9" s="5" t="s">
        <v>32</v>
      </c>
      <c r="O9" s="5" t="n">
        <v>0</v>
      </c>
      <c r="P9" s="5" t="s">
        <v>52</v>
      </c>
      <c r="Q9" s="5" t="s">
        <v>52</v>
      </c>
      <c r="R9" s="5" t="s">
        <v>52</v>
      </c>
      <c r="S9" s="5" t="s">
        <v>35</v>
      </c>
      <c r="T9" s="5" t="s">
        <v>68</v>
      </c>
    </row>
    <row r="10" customFormat="false" ht="21.75" hidden="false" customHeight="true" outlineLevel="0" collapsed="false">
      <c r="B10" s="13" t="s">
        <v>69</v>
      </c>
      <c r="C10" s="13" t="s">
        <v>63</v>
      </c>
      <c r="D10" s="13" t="s">
        <v>70</v>
      </c>
      <c r="E10" s="13" t="s">
        <v>71</v>
      </c>
      <c r="F10" s="13" t="s">
        <v>72</v>
      </c>
      <c r="G10" s="13" t="s">
        <v>73</v>
      </c>
      <c r="H10" s="14" t="s">
        <v>27</v>
      </c>
      <c r="I10" s="15" t="n">
        <v>1</v>
      </c>
      <c r="J10" s="16" t="s">
        <v>28</v>
      </c>
      <c r="K10" s="13" t="s">
        <v>62</v>
      </c>
      <c r="L10" s="13" t="s">
        <v>74</v>
      </c>
      <c r="M10" s="13" t="s">
        <v>75</v>
      </c>
      <c r="N10" s="13" t="s">
        <v>32</v>
      </c>
      <c r="O10" s="17" t="n">
        <v>0</v>
      </c>
      <c r="P10" s="13" t="s">
        <v>76</v>
      </c>
      <c r="Q10" s="13" t="s">
        <v>77</v>
      </c>
      <c r="R10" s="13" t="s">
        <v>52</v>
      </c>
      <c r="S10" s="13" t="s">
        <v>35</v>
      </c>
      <c r="T10" s="13" t="s">
        <v>78</v>
      </c>
    </row>
    <row r="11" customFormat="false" ht="21.75" hidden="false" customHeight="true" outlineLevel="0" collapsed="false">
      <c r="B11" s="18" t="s">
        <v>79</v>
      </c>
      <c r="C11" s="18" t="s">
        <v>63</v>
      </c>
      <c r="D11" s="18" t="s">
        <v>80</v>
      </c>
      <c r="E11" s="18" t="s">
        <v>81</v>
      </c>
      <c r="F11" s="18" t="s">
        <v>82</v>
      </c>
      <c r="G11" s="18" t="s">
        <v>83</v>
      </c>
      <c r="H11" s="14" t="s">
        <v>27</v>
      </c>
      <c r="I11" s="19" t="n">
        <v>1</v>
      </c>
      <c r="J11" s="20" t="s">
        <v>28</v>
      </c>
      <c r="K11" s="18" t="s">
        <v>84</v>
      </c>
      <c r="L11" s="18" t="s">
        <v>85</v>
      </c>
      <c r="M11" s="18" t="s">
        <v>86</v>
      </c>
      <c r="N11" s="18" t="s">
        <v>32</v>
      </c>
      <c r="O11" s="18" t="n">
        <v>0</v>
      </c>
      <c r="P11" s="18" t="s">
        <v>87</v>
      </c>
      <c r="Q11" s="18" t="s">
        <v>77</v>
      </c>
      <c r="R11" s="18" t="s">
        <v>35</v>
      </c>
      <c r="S11" s="18" t="s">
        <v>35</v>
      </c>
      <c r="T11" s="18" t="s">
        <v>88</v>
      </c>
    </row>
    <row r="12" customFormat="false" ht="21.75" hidden="false" customHeight="true" outlineLevel="0" collapsed="false">
      <c r="B12" s="9" t="s">
        <v>89</v>
      </c>
      <c r="C12" s="9" t="s">
        <v>63</v>
      </c>
      <c r="D12" s="9" t="s">
        <v>80</v>
      </c>
      <c r="E12" s="9" t="s">
        <v>90</v>
      </c>
      <c r="F12" s="9" t="s">
        <v>91</v>
      </c>
      <c r="G12" s="9" t="s">
        <v>83</v>
      </c>
      <c r="H12" s="6" t="s">
        <v>27</v>
      </c>
      <c r="I12" s="10" t="n">
        <v>1</v>
      </c>
      <c r="J12" s="11" t="s">
        <v>28</v>
      </c>
      <c r="K12" s="9" t="s">
        <v>79</v>
      </c>
      <c r="L12" s="9" t="s">
        <v>92</v>
      </c>
      <c r="M12" s="9" t="s">
        <v>93</v>
      </c>
      <c r="N12" s="9" t="s">
        <v>32</v>
      </c>
      <c r="O12" s="9" t="n">
        <v>0</v>
      </c>
      <c r="P12" s="9" t="s">
        <v>87</v>
      </c>
      <c r="Q12" s="9" t="s">
        <v>77</v>
      </c>
      <c r="R12" s="9" t="s">
        <v>35</v>
      </c>
      <c r="S12" s="9" t="s">
        <v>35</v>
      </c>
      <c r="T12" s="9" t="s">
        <v>94</v>
      </c>
    </row>
    <row r="13" customFormat="false" ht="21.75" hidden="false" customHeight="true" outlineLevel="0" collapsed="false">
      <c r="B13" s="5" t="s">
        <v>95</v>
      </c>
      <c r="C13" s="5" t="s">
        <v>63</v>
      </c>
      <c r="D13" s="5" t="s">
        <v>80</v>
      </c>
      <c r="E13" s="5" t="s">
        <v>96</v>
      </c>
      <c r="F13" s="5" t="s">
        <v>97</v>
      </c>
      <c r="G13" s="5" t="s">
        <v>98</v>
      </c>
      <c r="H13" s="6" t="s">
        <v>27</v>
      </c>
      <c r="I13" s="7" t="n">
        <v>1</v>
      </c>
      <c r="J13" s="8" t="s">
        <v>28</v>
      </c>
      <c r="K13" s="5" t="s">
        <v>99</v>
      </c>
      <c r="L13" s="5" t="s">
        <v>100</v>
      </c>
      <c r="M13" s="5" t="s">
        <v>101</v>
      </c>
      <c r="N13" s="5" t="s">
        <v>32</v>
      </c>
      <c r="O13" s="5" t="n">
        <v>0</v>
      </c>
      <c r="P13" s="5" t="s">
        <v>102</v>
      </c>
      <c r="Q13" s="5" t="s">
        <v>77</v>
      </c>
      <c r="R13" s="5" t="s">
        <v>35</v>
      </c>
      <c r="S13" s="5" t="s">
        <v>35</v>
      </c>
      <c r="T13" s="5" t="s">
        <v>103</v>
      </c>
    </row>
    <row r="14" customFormat="false" ht="21.75" hidden="false" customHeight="true" outlineLevel="0" collapsed="false">
      <c r="B14" s="9" t="s">
        <v>104</v>
      </c>
      <c r="C14" s="9" t="s">
        <v>63</v>
      </c>
      <c r="D14" s="9" t="s">
        <v>80</v>
      </c>
      <c r="E14" s="9" t="s">
        <v>105</v>
      </c>
      <c r="F14" s="9" t="s">
        <v>106</v>
      </c>
      <c r="G14" s="9" t="s">
        <v>107</v>
      </c>
      <c r="H14" s="6" t="s">
        <v>27</v>
      </c>
      <c r="I14" s="10" t="n">
        <v>1</v>
      </c>
      <c r="J14" s="11" t="s">
        <v>28</v>
      </c>
      <c r="K14" s="9" t="s">
        <v>89</v>
      </c>
      <c r="L14" s="9" t="s">
        <v>108</v>
      </c>
      <c r="M14" s="9" t="s">
        <v>109</v>
      </c>
      <c r="N14" s="9" t="s">
        <v>32</v>
      </c>
      <c r="O14" s="9" t="n">
        <v>0</v>
      </c>
      <c r="P14" s="9" t="s">
        <v>110</v>
      </c>
      <c r="Q14" s="9" t="s">
        <v>77</v>
      </c>
      <c r="R14" s="9" t="s">
        <v>35</v>
      </c>
      <c r="S14" s="9" t="s">
        <v>35</v>
      </c>
      <c r="T14" s="9" t="s">
        <v>111</v>
      </c>
    </row>
    <row r="15" customFormat="false" ht="21.75" hidden="false" customHeight="true" outlineLevel="0" collapsed="false">
      <c r="B15" s="5" t="s">
        <v>112</v>
      </c>
      <c r="C15" s="5" t="s">
        <v>63</v>
      </c>
      <c r="D15" s="5" t="s">
        <v>80</v>
      </c>
      <c r="E15" s="5" t="s">
        <v>113</v>
      </c>
      <c r="F15" s="5" t="s">
        <v>114</v>
      </c>
      <c r="G15" s="5" t="s">
        <v>115</v>
      </c>
      <c r="H15" s="6" t="s">
        <v>27</v>
      </c>
      <c r="I15" s="7" t="n">
        <v>1</v>
      </c>
      <c r="J15" s="8" t="s">
        <v>28</v>
      </c>
      <c r="K15" s="5" t="s">
        <v>89</v>
      </c>
      <c r="L15" s="5" t="s">
        <v>116</v>
      </c>
      <c r="M15" s="5" t="s">
        <v>117</v>
      </c>
      <c r="N15" s="5" t="s">
        <v>32</v>
      </c>
      <c r="O15" s="5" t="n">
        <v>0</v>
      </c>
      <c r="P15" s="5" t="s">
        <v>110</v>
      </c>
      <c r="Q15" s="5" t="s">
        <v>77</v>
      </c>
      <c r="R15" s="5" t="s">
        <v>35</v>
      </c>
      <c r="S15" s="5" t="s">
        <v>35</v>
      </c>
      <c r="T15" s="5" t="s">
        <v>118</v>
      </c>
    </row>
    <row r="16" customFormat="false" ht="21.75" hidden="false" customHeight="true" outlineLevel="0" collapsed="false">
      <c r="B16" s="9" t="s">
        <v>119</v>
      </c>
      <c r="C16" s="9" t="s">
        <v>63</v>
      </c>
      <c r="D16" s="9" t="s">
        <v>80</v>
      </c>
      <c r="E16" s="9" t="s">
        <v>120</v>
      </c>
      <c r="F16" s="9" t="s">
        <v>121</v>
      </c>
      <c r="G16" s="9" t="s">
        <v>122</v>
      </c>
      <c r="H16" s="6" t="s">
        <v>27</v>
      </c>
      <c r="I16" s="10" t="n">
        <v>1</v>
      </c>
      <c r="J16" s="11" t="s">
        <v>28</v>
      </c>
      <c r="K16" s="9" t="s">
        <v>123</v>
      </c>
      <c r="L16" s="9" t="s">
        <v>124</v>
      </c>
      <c r="M16" s="9" t="s">
        <v>125</v>
      </c>
      <c r="N16" s="9" t="s">
        <v>32</v>
      </c>
      <c r="O16" s="9" t="n">
        <v>0</v>
      </c>
      <c r="P16" s="9" t="s">
        <v>110</v>
      </c>
      <c r="Q16" s="9" t="s">
        <v>77</v>
      </c>
      <c r="R16" s="9" t="s">
        <v>35</v>
      </c>
      <c r="S16" s="9" t="s">
        <v>35</v>
      </c>
      <c r="T16" s="9" t="s">
        <v>126</v>
      </c>
    </row>
    <row r="17" customFormat="false" ht="21.75" hidden="false" customHeight="true" outlineLevel="0" collapsed="false">
      <c r="B17" s="5" t="s">
        <v>127</v>
      </c>
      <c r="C17" s="5" t="s">
        <v>63</v>
      </c>
      <c r="D17" s="5" t="s">
        <v>80</v>
      </c>
      <c r="E17" s="5" t="s">
        <v>128</v>
      </c>
      <c r="F17" s="5" t="s">
        <v>129</v>
      </c>
      <c r="G17" s="5" t="s">
        <v>130</v>
      </c>
      <c r="H17" s="6" t="s">
        <v>27</v>
      </c>
      <c r="I17" s="7" t="n">
        <v>1</v>
      </c>
      <c r="J17" s="8" t="s">
        <v>28</v>
      </c>
      <c r="K17" s="5" t="s">
        <v>131</v>
      </c>
      <c r="L17" s="5" t="s">
        <v>132</v>
      </c>
      <c r="M17" s="5" t="s">
        <v>133</v>
      </c>
      <c r="N17" s="21" t="s">
        <v>134</v>
      </c>
      <c r="O17" s="5" t="n">
        <v>0</v>
      </c>
      <c r="P17" s="5" t="s">
        <v>135</v>
      </c>
      <c r="Q17" s="5" t="s">
        <v>77</v>
      </c>
      <c r="R17" s="5" t="s">
        <v>35</v>
      </c>
      <c r="S17" s="5" t="s">
        <v>35</v>
      </c>
      <c r="T17" s="5" t="s">
        <v>136</v>
      </c>
    </row>
    <row r="18" customFormat="false" ht="21.75" hidden="false" customHeight="true" outlineLevel="0" collapsed="false">
      <c r="B18" s="9" t="s">
        <v>137</v>
      </c>
      <c r="C18" s="9" t="s">
        <v>63</v>
      </c>
      <c r="D18" s="9" t="s">
        <v>80</v>
      </c>
      <c r="E18" s="9" t="s">
        <v>138</v>
      </c>
      <c r="F18" s="9" t="s">
        <v>139</v>
      </c>
      <c r="G18" s="9" t="s">
        <v>140</v>
      </c>
      <c r="H18" s="6" t="s">
        <v>27</v>
      </c>
      <c r="I18" s="10" t="n">
        <v>1</v>
      </c>
      <c r="J18" s="11" t="s">
        <v>28</v>
      </c>
      <c r="K18" s="9" t="s">
        <v>141</v>
      </c>
      <c r="L18" s="9" t="s">
        <v>142</v>
      </c>
      <c r="M18" s="9" t="s">
        <v>143</v>
      </c>
      <c r="N18" s="9" t="s">
        <v>32</v>
      </c>
      <c r="O18" s="9" t="n">
        <v>0</v>
      </c>
      <c r="P18" s="9" t="s">
        <v>76</v>
      </c>
      <c r="Q18" s="9" t="s">
        <v>77</v>
      </c>
      <c r="R18" s="9" t="s">
        <v>35</v>
      </c>
      <c r="S18" s="9" t="s">
        <v>35</v>
      </c>
      <c r="T18" s="9" t="s">
        <v>144</v>
      </c>
    </row>
    <row r="19" customFormat="false" ht="25.5" hidden="false" customHeight="true" outlineLevel="0" collapsed="false">
      <c r="B19" s="9" t="s">
        <v>145</v>
      </c>
      <c r="C19" s="9" t="s">
        <v>63</v>
      </c>
      <c r="D19" s="9" t="s">
        <v>146</v>
      </c>
      <c r="E19" s="9" t="s">
        <v>147</v>
      </c>
      <c r="F19" s="9" t="s">
        <v>148</v>
      </c>
      <c r="G19" s="9" t="s">
        <v>149</v>
      </c>
      <c r="H19" s="6" t="s">
        <v>27</v>
      </c>
      <c r="I19" s="10" t="n">
        <v>1</v>
      </c>
      <c r="J19" s="11" t="s">
        <v>28</v>
      </c>
      <c r="K19" s="9" t="s">
        <v>150</v>
      </c>
      <c r="L19" s="9" t="s">
        <v>151</v>
      </c>
      <c r="M19" s="9" t="s">
        <v>152</v>
      </c>
      <c r="N19" s="9" t="s">
        <v>32</v>
      </c>
      <c r="O19" s="9" t="n">
        <v>0</v>
      </c>
      <c r="P19" s="9" t="s">
        <v>153</v>
      </c>
      <c r="Q19" s="9" t="s">
        <v>154</v>
      </c>
      <c r="R19" s="9" t="s">
        <v>35</v>
      </c>
      <c r="S19" s="9" t="s">
        <v>35</v>
      </c>
      <c r="T19" s="9" t="s">
        <v>155</v>
      </c>
    </row>
    <row r="20" customFormat="false" ht="15" hidden="false" customHeight="false" outlineLevel="0" collapsed="false">
      <c r="B20" s="9" t="s">
        <v>156</v>
      </c>
      <c r="C20" s="9" t="s">
        <v>63</v>
      </c>
      <c r="D20" s="9" t="s">
        <v>157</v>
      </c>
      <c r="E20" s="9" t="s">
        <v>158</v>
      </c>
      <c r="F20" s="9" t="s">
        <v>159</v>
      </c>
      <c r="G20" s="9" t="s">
        <v>160</v>
      </c>
      <c r="H20" s="6" t="s">
        <v>27</v>
      </c>
      <c r="I20" s="10" t="n">
        <v>1</v>
      </c>
      <c r="J20" s="11" t="s">
        <v>28</v>
      </c>
      <c r="K20" s="9" t="s">
        <v>161</v>
      </c>
      <c r="L20" s="9" t="s">
        <v>162</v>
      </c>
      <c r="M20" s="9" t="s">
        <v>163</v>
      </c>
      <c r="N20" s="9" t="s">
        <v>32</v>
      </c>
      <c r="O20" s="9" t="n">
        <v>0</v>
      </c>
      <c r="P20" s="9" t="s">
        <v>164</v>
      </c>
      <c r="Q20" s="9" t="s">
        <v>165</v>
      </c>
      <c r="R20" s="9" t="s">
        <v>35</v>
      </c>
      <c r="S20" s="9" t="s">
        <v>35</v>
      </c>
      <c r="T20" s="9" t="s">
        <v>166</v>
      </c>
    </row>
    <row r="21" customFormat="false" ht="15" hidden="false" customHeight="true" outlineLevel="0" collapsed="false">
      <c r="B21" s="22" t="s">
        <v>167</v>
      </c>
      <c r="C21" s="22" t="s">
        <v>168</v>
      </c>
      <c r="D21" s="22"/>
      <c r="E21" s="22"/>
      <c r="F21" s="22"/>
      <c r="G21" s="22"/>
      <c r="H21" s="22"/>
      <c r="I21" s="23" t="n">
        <v>1</v>
      </c>
      <c r="J21" s="22"/>
      <c r="K21" s="22"/>
      <c r="L21" s="22"/>
      <c r="M21" s="22"/>
      <c r="N21" s="22"/>
      <c r="O21" s="22" t="n">
        <v>0</v>
      </c>
      <c r="P21" s="22"/>
      <c r="Q21" s="22"/>
      <c r="R21" s="22"/>
      <c r="S21" s="22"/>
      <c r="T21" s="22" t="s">
        <v>169</v>
      </c>
    </row>
    <row r="23" customFormat="false" ht="15" hidden="false" customHeight="false" outlineLevel="0" collapsed="false">
      <c r="B23" s="24" t="s">
        <v>170</v>
      </c>
    </row>
  </sheetData>
  <mergeCells count="1">
    <mergeCell ref="B2:T2"/>
  </mergeCells>
  <dataValidations count="2">
    <dataValidation allowBlank="true" errorStyle="stop" operator="between" showDropDown="false" showErrorMessage="false" showInputMessage="false" sqref="H5:H29" type="list">
      <formula1>"À FAIRE,EN COURS,TERMINÉ,BLOQUÉ"</formula1>
      <formula2>0</formula2>
    </dataValidation>
    <dataValidation allowBlank="true" errorStyle="stop" operator="between" showDropDown="false" showErrorMessage="false" showInputMessage="false" sqref="J5:J29" type="list">
      <formula1>"P0,P1,P2,P3,P4"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28"/>
    <col collapsed="false" customWidth="true" hidden="false" outlineLevel="0" max="4" min="4" style="1" width="26"/>
  </cols>
  <sheetData>
    <row r="2" customFormat="false" ht="31.5" hidden="false" customHeight="true" outlineLevel="0" collapsed="false">
      <c r="B2" s="2" t="s">
        <v>171</v>
      </c>
      <c r="C2" s="2"/>
      <c r="D2" s="2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172</v>
      </c>
      <c r="C4" s="4" t="s">
        <v>173</v>
      </c>
      <c r="D4" s="4" t="s">
        <v>174</v>
      </c>
    </row>
    <row r="5" customFormat="false" ht="21.75" hidden="false" customHeight="true" outlineLevel="0" collapsed="false">
      <c r="B5" s="5" t="s">
        <v>175</v>
      </c>
      <c r="C5" s="5" t="n">
        <v>16</v>
      </c>
      <c r="D5" s="5" t="s">
        <v>176</v>
      </c>
    </row>
    <row r="6" customFormat="false" ht="21.75" hidden="false" customHeight="true" outlineLevel="0" collapsed="false">
      <c r="B6" s="9" t="s">
        <v>177</v>
      </c>
      <c r="C6" s="9" t="n">
        <f aca="false">COUNTIF(TASKS!H5:H20,"TERMINÉ")</f>
        <v>16</v>
      </c>
      <c r="D6" s="9" t="s">
        <v>178</v>
      </c>
    </row>
    <row r="7" customFormat="false" ht="21.75" hidden="false" customHeight="true" outlineLevel="0" collapsed="false">
      <c r="B7" s="5" t="s">
        <v>179</v>
      </c>
      <c r="C7" s="5" t="n">
        <f aca="false">COUNTIF(TASKS!H5:H20,"EN COURS")</f>
        <v>0</v>
      </c>
      <c r="D7" s="5" t="s">
        <v>178</v>
      </c>
    </row>
    <row r="8" customFormat="false" ht="21.75" hidden="false" customHeight="true" outlineLevel="0" collapsed="false">
      <c r="B8" s="9" t="s">
        <v>180</v>
      </c>
      <c r="C8" s="9" t="n">
        <f aca="false">COUNTIF(TASKS!H5:H20,"À FAIRE")</f>
        <v>0</v>
      </c>
      <c r="D8" s="9" t="s">
        <v>178</v>
      </c>
    </row>
    <row r="9" customFormat="false" ht="21.75" hidden="false" customHeight="true" outlineLevel="0" collapsed="false">
      <c r="B9" s="5" t="s">
        <v>181</v>
      </c>
      <c r="C9" s="5" t="n">
        <f aca="false">COUNTIF(TASKS!H5:H20,"BLOQUÉ")</f>
        <v>0</v>
      </c>
      <c r="D9" s="5" t="s">
        <v>178</v>
      </c>
    </row>
    <row r="10" customFormat="false" ht="21.75" hidden="false" customHeight="true" outlineLevel="0" collapsed="false">
      <c r="B10" s="9" t="s">
        <v>182</v>
      </c>
      <c r="C10" s="9" t="n">
        <f aca="false">SUM(TASKS!O5:O20)</f>
        <v>0</v>
      </c>
      <c r="D10" s="9" t="s">
        <v>183</v>
      </c>
    </row>
    <row r="11" customFormat="false" ht="21.75" hidden="false" customHeight="true" outlineLevel="0" collapsed="false">
      <c r="B11" s="5" t="s">
        <v>184</v>
      </c>
      <c r="C11" s="25" t="n">
        <f aca="false">AVERAGE(TASKS!I5:I20)</f>
        <v>1</v>
      </c>
      <c r="D11" s="5" t="s">
        <v>185</v>
      </c>
    </row>
    <row r="12" customFormat="false" ht="21.75" hidden="false" customHeight="true" outlineLevel="0" collapsed="false">
      <c r="B12" s="9" t="s">
        <v>186</v>
      </c>
      <c r="C12" s="26" t="s">
        <v>187</v>
      </c>
      <c r="D12" s="9" t="s">
        <v>188</v>
      </c>
    </row>
    <row r="13" customFormat="false" ht="21.75" hidden="false" customHeight="true" outlineLevel="0" collapsed="false">
      <c r="B13" s="5" t="s">
        <v>189</v>
      </c>
      <c r="C13" s="27" t="n">
        <v>22</v>
      </c>
      <c r="D13" s="5" t="s">
        <v>190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2026-10-25T19:29:59Z</dcterms:created>
  <dc:creator>Z.ai</dc:creator>
  <dc:description/>
  <dc:language>en-US</dc:language>
  <cp:lastModifiedBy/>
  <dcterms:modified xsi:type="dcterms:W3CDTF">2026-10-25T22:54:16Z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