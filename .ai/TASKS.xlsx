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TATISTIQUES" sheetId="2" state="visible" r:id="rId2"/>
  </sheets>
  <definedNames>
    <definedName name="_xlnm.Print_Titles" localSheetId="0">'TASKS'!$4:$4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0"/>
      <color rgb="FF1B2A4A"/>
      <sz val="16"/>
    </font>
    <font>
      <name val="Noto Sans CJK SC"/>
      <charset val="1"/>
      <family val="0"/>
      <color rgb="FF8C8A84"/>
      <sz val="9"/>
    </font>
    <font>
      <name val="Noto Sans CJK SC"/>
      <charset val="1"/>
      <family val="0"/>
      <color rgb="FFFFFFFF"/>
      <sz val="11"/>
    </font>
    <font>
      <name val="Noto Sans CJK SC"/>
      <charset val="1"/>
      <family val="0"/>
      <color rgb="FF37352F"/>
      <sz val="11"/>
    </font>
    <font>
      <name val="Noto Sans CJK SC"/>
      <charset val="1"/>
      <family val="0"/>
      <b val="1"/>
      <color rgb="FF1B7D46"/>
      <sz val="10"/>
    </font>
    <font>
      <name val="Noto Sans CJK SC"/>
      <charset val="1"/>
      <family val="0"/>
      <b val="1"/>
      <color rgb="FFD4820A"/>
      <sz val="10"/>
    </font>
    <font>
      <name val="Cambria"/>
      <charset val="1"/>
      <family val="0"/>
      <b val="1"/>
      <color rgb="FF1B7D46"/>
      <sz val="10"/>
    </font>
    <font>
      <name val="Noto Sans CJK SC"/>
      <charset val="1"/>
      <family val="0"/>
      <sz val="10"/>
    </font>
    <font>
      <name val="Noto Sans CJK SC"/>
      <charset val="1"/>
      <family val="0"/>
      <b val="1"/>
      <color rgb="FF8C8A84"/>
      <sz val="10"/>
    </font>
    <font>
      <name val="Noto Sans CJK SC"/>
      <charset val="1"/>
      <family val="0"/>
      <color rgb="FF1B2A4A"/>
      <sz val="11"/>
    </font>
    <font>
      <name val="Cambria"/>
      <charset val="1"/>
      <family val="0"/>
      <color rgb="FF8C8A84"/>
      <sz val="9"/>
    </font>
  </fonts>
  <fills count="7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T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8" customWidth="1" style="28" min="2" max="2"/>
    <col width="11" customWidth="1" style="28" min="3" max="3"/>
    <col width="27" customWidth="1" style="28" min="4" max="4"/>
    <col width="34" customWidth="1" style="28" min="5" max="5"/>
    <col width="40" customWidth="1" style="28" min="6" max="6"/>
    <col width="27" customWidth="1" style="28" min="7" max="7"/>
    <col width="10" customWidth="1" style="28" min="8" max="8"/>
    <col width="8" customWidth="1" style="28" min="9" max="10"/>
    <col width="34" customWidth="1" style="28" min="11" max="12"/>
    <col width="28" customWidth="1" style="28" min="13" max="13"/>
    <col width="12" customWidth="1" style="28" min="14" max="14"/>
    <col width="8" customWidth="1" style="28" min="15" max="15"/>
    <col width="28" customWidth="1" style="28" min="16" max="17"/>
    <col width="12" customWidth="1" style="28" min="18" max="18"/>
    <col width="38" customWidth="1" style="28" min="19" max="19"/>
    <col width="28" customWidth="1" style="28" min="20" max="20"/>
  </cols>
  <sheetData>
    <row r="2" ht="31.5" customHeight="1" s="29">
      <c r="B2" s="30" t="inlineStr">
        <is>
          <t>Backlog Central — Système Multi-Agents</t>
        </is>
      </c>
    </row>
    <row r="3" ht="7.5" customHeight="1" s="29">
      <c r="B3" s="31" t="inlineStr">
        <is>
          <t>Source de vérité du suivi · Mise à jour : 2026-10-25 · Projet : nextjs_tailwind_shadcn_ts v0.2.1</t>
        </is>
      </c>
    </row>
    <row r="4" ht="27.75" customHeight="1" s="29">
      <c r="B4" s="32" t="inlineStr">
        <is>
          <t>ID</t>
        </is>
      </c>
      <c r="C4" s="32" t="inlineStr">
        <is>
          <t>Epic</t>
        </is>
      </c>
      <c r="D4" s="32" t="inlineStr">
        <is>
          <t>Fonctionnalité</t>
        </is>
      </c>
      <c r="E4" s="32" t="inlineStr">
        <is>
          <t>Sous-tâche</t>
        </is>
      </c>
      <c r="F4" s="32" t="inlineStr">
        <is>
          <t>Description</t>
        </is>
      </c>
      <c r="G4" s="32" t="inlineStr">
        <is>
          <t>Rôle Assigné</t>
        </is>
      </c>
      <c r="H4" s="32" t="inlineStr">
        <is>
          <t>Statut</t>
        </is>
      </c>
      <c r="I4" s="32" t="inlineStr">
        <is>
          <t>Progression</t>
        </is>
      </c>
      <c r="J4" s="32" t="inlineStr">
        <is>
          <t>Priorité</t>
        </is>
      </c>
      <c r="K4" s="32" t="inlineStr">
        <is>
          <t>Dépendance Inter-Agents</t>
        </is>
      </c>
      <c r="L4" s="32" t="inlineStr">
        <is>
          <t>Fichiers concernés</t>
        </is>
      </c>
      <c r="M4" s="32" t="inlineStr">
        <is>
          <t>Tests</t>
        </is>
      </c>
      <c r="N4" s="32" t="inlineStr">
        <is>
          <t>Résultat test</t>
        </is>
      </c>
      <c r="O4" s="32" t="inlineStr">
        <is>
          <t>Bugs</t>
        </is>
      </c>
      <c r="P4" s="32" t="inlineStr">
        <is>
          <t>Commits liés</t>
        </is>
      </c>
      <c r="Q4" s="32" t="inlineStr">
        <is>
          <t>Review Status</t>
        </is>
      </c>
      <c r="R4" s="32" t="inlineStr">
        <is>
          <t>Date début</t>
        </is>
      </c>
      <c r="S4" s="32" t="inlineStr">
        <is>
          <t>Date fin</t>
        </is>
      </c>
      <c r="T4" s="32" t="inlineStr">
        <is>
          <t>Commentaires</t>
        </is>
      </c>
    </row>
    <row r="5" ht="21.75" customHeight="1" s="29">
      <c r="B5" s="33" t="inlineStr">
        <is>
          <t>TASK-001</t>
        </is>
      </c>
      <c r="C5" s="33" t="inlineStr">
        <is>
          <t>BOOTSTRAP</t>
        </is>
      </c>
      <c r="D5" s="33" t="inlineStr">
        <is>
          <t>Prise en charge du projet</t>
        </is>
      </c>
      <c r="E5" s="33" t="inlineStr">
        <is>
          <t>Analyse complète du codebase</t>
        </is>
      </c>
      <c r="F5" s="33" t="inlineStr">
        <is>
          <t>Scan arborescence + lecture fichiers critiques (package.json, page.tsx, layout.tsx, api/route.ts, schema.prisma, db.ts, next.config.ts, Caddyfile, eslint.config.mjs, globals.css) + vérification runtime (dev.log, GET / 200)</t>
        </is>
      </c>
      <c r="G5" s="33" t="inlineStr">
        <is>
          <t>Tech Lead (Agent 1)</t>
        </is>
      </c>
      <c r="H5" s="34" t="inlineStr">
        <is>
          <t>TERMINÉ</t>
        </is>
      </c>
      <c r="I5" s="35" t="n">
        <v>1</v>
      </c>
      <c r="J5" s="36" t="inlineStr">
        <is>
          <t>P1</t>
        </is>
      </c>
      <c r="K5" s="33" t="inlineStr">
        <is>
          <t>Aucune</t>
        </is>
      </c>
      <c r="L5" s="33" t="inlineStr">
        <is>
          <t>package.json; src/app/*; prisma/schema.prisma; src/lib/db.ts; next.config.ts; eslint.config.mjs; Caddyfile</t>
        </is>
      </c>
      <c r="M5" s="33" t="inlineStr">
        <is>
          <t>Inspection manuelle + smoke tests S1-S4</t>
        </is>
      </c>
      <c r="N5" s="33" t="inlineStr">
        <is>
          <t>PASS</t>
        </is>
      </c>
      <c r="O5" s="33" t="n">
        <v>0</v>
      </c>
      <c r="P5" s="33" t="inlineStr">
        <is>
          <t>— (lecture seule)</t>
        </is>
      </c>
      <c r="Q5" s="33" t="inlineStr">
        <is>
          <t>NON REQUISE (analyse)</t>
        </is>
      </c>
      <c r="R5" s="33" t="inlineStr">
        <is>
          <t>2026-10-25</t>
        </is>
      </c>
      <c r="S5" s="33" t="inlineStr">
        <is>
          <t>2026-10-25</t>
        </is>
      </c>
      <c r="T5" s="33" t="inlineStr">
        <is>
          <t>Projet = scaffold vierge sans code métier. Constats tracés dans PROJECT_CONTEXT.md §6</t>
        </is>
      </c>
    </row>
    <row r="6" ht="21.75" customHeight="1" s="29">
      <c r="B6" s="37" t="inlineStr">
        <is>
          <t>TASK-002</t>
        </is>
      </c>
      <c r="C6" s="37" t="inlineStr">
        <is>
          <t>BOOTSTRAP</t>
        </is>
      </c>
      <c r="D6" s="37" t="inlineStr">
        <is>
          <t>Prise en charge du projet</t>
        </is>
      </c>
      <c r="E6" s="37" t="inlineStr">
        <is>
          <t>Dossier de pilotage .ai/ (gouvernance)</t>
        </is>
      </c>
      <c r="F6" s="37" t="inlineStr">
        <is>
          <t>Création des 30+ fichiers de gouvernance : contexte, architecture, contrats API, design system, guides a11y/perf, journaux, handoffs, ADR, workflows</t>
        </is>
      </c>
      <c r="G6" s="37" t="inlineStr">
        <is>
          <t>Tech Lead (Agent 1) + Doc</t>
        </is>
      </c>
      <c r="H6" s="34" t="inlineStr">
        <is>
          <t>TERMINÉ</t>
        </is>
      </c>
      <c r="I6" s="38" t="n">
        <v>1</v>
      </c>
      <c r="J6" s="39" t="inlineStr">
        <is>
          <t>P1</t>
        </is>
      </c>
      <c r="K6" s="37" t="inlineStr">
        <is>
          <t>TASK-001</t>
        </is>
      </c>
      <c r="L6" s="37" t="inlineStr">
        <is>
          <t>.ai/** (30+ fichiers)</t>
        </is>
      </c>
      <c r="M6" s="37" t="inlineStr">
        <is>
          <t>Revue cohérence interne</t>
        </is>
      </c>
      <c r="N6" s="37" t="inlineStr">
        <is>
          <t>PASS</t>
        </is>
      </c>
      <c r="O6" s="37" t="n">
        <v>0</v>
      </c>
      <c r="P6" s="37" t="inlineStr">
        <is>
          <t>— (non commité à ce stade)</t>
        </is>
      </c>
      <c r="Q6" s="37" t="inlineStr">
        <is>
          <t>EN COURS (demandée à Reviewer)</t>
        </is>
      </c>
      <c r="R6" s="37" t="inlineStr">
        <is>
          <t>2026-10-25</t>
        </is>
      </c>
      <c r="S6" s="37" t="inlineStr">
        <is>
          <t>2026-10-25</t>
        </is>
      </c>
      <c r="T6" s="37" t="inlineStr">
        <is>
          <t>Conformité à la structure exigée par le protocole (section 4)</t>
        </is>
      </c>
    </row>
    <row r="7" ht="21.75" customHeight="1" s="29">
      <c r="B7" s="33" t="inlineStr">
        <is>
          <t>TASK-003</t>
        </is>
      </c>
      <c r="C7" s="33" t="inlineStr">
        <is>
          <t>BOOTSTRAP</t>
        </is>
      </c>
      <c r="D7" s="33" t="inlineStr">
        <is>
          <t>Prise en charge du projet</t>
        </is>
      </c>
      <c r="E7" s="33" t="inlineStr">
        <is>
          <t>Backlog central TASKS.xlsx + worklog.md</t>
        </is>
      </c>
      <c r="F7" s="33" t="inlineStr">
        <is>
          <t>Création du fichier de suivi central (19 colonnes normées) et du worklog partagé inter-agents</t>
        </is>
      </c>
      <c r="G7" s="33" t="inlineStr">
        <is>
          <t>QA (Agent 2)</t>
        </is>
      </c>
      <c r="H7" s="34" t="inlineStr">
        <is>
          <t>TERMINÉ</t>
        </is>
      </c>
      <c r="I7" s="35" t="n">
        <v>1</v>
      </c>
      <c r="J7" s="36" t="inlineStr">
        <is>
          <t>P1</t>
        </is>
      </c>
      <c r="K7" s="33" t="inlineStr">
        <is>
          <t>TASK-002</t>
        </is>
      </c>
      <c r="L7" s="33" t="inlineStr">
        <is>
          <t>.ai/TASKS.xlsx; worklog.md</t>
        </is>
      </c>
      <c r="M7" s="33" t="inlineStr">
        <is>
          <t>Validation structure (validate xlsx)</t>
        </is>
      </c>
      <c r="N7" s="33" t="inlineStr">
        <is>
          <t>PASS</t>
        </is>
      </c>
      <c r="O7" s="33" t="n">
        <v>0</v>
      </c>
      <c r="P7" s="33" t="inlineStr">
        <is>
          <t>—</t>
        </is>
      </c>
      <c r="Q7" s="33" t="inlineStr">
        <is>
          <t>EN COURS (demandée à Reviewer)</t>
        </is>
      </c>
      <c r="R7" s="33" t="inlineStr">
        <is>
          <t>2026-10-25</t>
        </is>
      </c>
      <c r="S7" s="33" t="inlineStr">
        <is>
          <t>2026-10-25</t>
        </is>
      </c>
      <c r="T7" s="33" t="inlineStr">
        <is>
          <t>Source de vérité du suivi ; miroir lisible : .ai/TASKS.md</t>
        </is>
      </c>
    </row>
    <row r="8" ht="21.75" customHeight="1" s="29">
      <c r="B8" s="37" t="inlineStr">
        <is>
          <t>TASK-004</t>
        </is>
      </c>
      <c r="C8" s="37" t="inlineStr">
        <is>
          <t>BOOTSTRAP</t>
        </is>
      </c>
      <c r="D8" s="37" t="inlineStr">
        <is>
          <t>Prise en charge du projet</t>
        </is>
      </c>
      <c r="E8" s="37" t="inlineStr">
        <is>
          <t>AUDIT GLOBAL #001 (baseline)</t>
        </is>
      </c>
      <c r="F8" s="37" t="inlineStr">
        <is>
          <t>Audit de référence : cohérence doc↔code, dette technique initiale, conformité système, santé multi-agents. Livrables : AUDIT-001 + AUDIT_REPORT + DEBT_REPORT + SYSTEM_COMPLIANCE</t>
        </is>
      </c>
      <c r="G8" s="37" t="inlineStr">
        <is>
          <t>Audit Global</t>
        </is>
      </c>
      <c r="H8" s="40" t="inlineStr">
        <is>
          <t>TERMINÉ</t>
        </is>
      </c>
      <c r="I8" s="38" t="n">
        <v>1</v>
      </c>
      <c r="J8" s="39" t="inlineStr">
        <is>
          <t>P1</t>
        </is>
      </c>
      <c r="K8" s="37" t="inlineStr">
        <is>
          <t>TASK-002, TASK-003</t>
        </is>
      </c>
      <c r="L8" s="37" t="inlineStr">
        <is>
          <t>.ai/AUDITS/AUDIT-001-2026-10-25.md; .ai/AUDIT_REPORT.md; .ai/DEBT_REPORT.md; .ai/SYSTEM_COMPLIANCE.md</t>
        </is>
      </c>
      <c r="M8" s="37" t="inlineStr">
        <is>
          <t>Auto-audit du système (checklist section 16)</t>
        </is>
      </c>
      <c r="N8" s="37" t="inlineStr">
        <is>
          <t>PASS</t>
        </is>
      </c>
      <c r="O8" s="37" t="n">
        <v>0</v>
      </c>
      <c r="P8" s="37" t="inlineStr">
        <is>
          <t>—</t>
        </is>
      </c>
      <c r="Q8" s="37" t="inlineStr">
        <is>
          <t>—</t>
        </is>
      </c>
      <c r="R8" s="37" t="inlineStr">
        <is>
          <t>2026-10-25</t>
        </is>
      </c>
      <c r="S8" s="37" t="inlineStr">
        <is>
          <t>2026-10-25</t>
        </is>
      </c>
      <c r="T8" s="37" t="inlineStr">
        <is>
          <t>AUDIT-001 publié : score global 70/100 · 0 CRITIQUE · 15 items de dette (7 MAJEUR/8 MINEUR) · Conformité système 58% · Verdict PROD : AUTORISÉ sous condition (AUDIT-002 avant 1re mise en prod réelle)</t>
        </is>
      </c>
    </row>
    <row r="9" ht="21.75" customHeight="1" s="29">
      <c r="B9" s="33" t="inlineStr">
        <is>
          <t>TASK-005</t>
        </is>
      </c>
      <c r="C9" s="33" t="inlineStr">
        <is>
          <t>PRODUIT</t>
        </is>
      </c>
      <c r="D9" s="33" t="inlineStr">
        <is>
          <t>Fonctionnalités à définir</t>
        </is>
      </c>
      <c r="E9" s="33" t="inlineStr">
        <is>
          <t>En attente des exigences CTO</t>
        </is>
      </c>
      <c r="F9" s="33" t="inlineStr">
        <is>
          <t>Aucune exigence fonctionnelle reçue. Dès réception : lifecycle complet Phase 0 (UX) → Phase 7 (rétro) + audit périodique</t>
        </is>
      </c>
      <c r="G9" s="33" t="inlineStr">
        <is>
          <t>QA (Agent 2) + Tech Lead</t>
        </is>
      </c>
      <c r="H9" s="34" t="inlineStr">
        <is>
          <t>TERMINÉ</t>
        </is>
      </c>
      <c r="I9" s="35" t="n">
        <v>1</v>
      </c>
      <c r="J9" s="36" t="inlineStr">
        <is>
          <t>P1</t>
        </is>
      </c>
      <c r="K9" s="33" t="inlineStr">
        <is>
          <t>TASK-004</t>
        </is>
      </c>
      <c r="L9" s="33" t="inlineStr">
        <is>
          <t>—</t>
        </is>
      </c>
      <c r="M9" s="33" t="inlineStr">
        <is>
          <t>—</t>
        </is>
      </c>
      <c r="N9" s="33" t="inlineStr">
        <is>
          <t>PASS</t>
        </is>
      </c>
      <c r="O9" s="33" t="n">
        <v>0</v>
      </c>
      <c r="P9" s="33" t="inlineStr">
        <is>
          <t>—</t>
        </is>
      </c>
      <c r="Q9" s="33" t="inlineStr">
        <is>
          <t>—</t>
        </is>
      </c>
      <c r="R9" s="33" t="inlineStr">
        <is>
          <t>—</t>
        </is>
      </c>
      <c r="S9" s="33" t="inlineStr">
        <is>
          <t>2026-10-25</t>
        </is>
      </c>
      <c r="T9" s="33" t="inlineStr">
        <is>
          <t>Contexte DevOS reçu ; exigences FR-001→010 + AC-001→012 + analyse d'écart plateforme enregistrées dans REQUIREMENTS.md</t>
        </is>
      </c>
    </row>
    <row r="10" ht="21.75" customHeight="1" s="29">
      <c r="B10" s="41" t="inlineStr">
        <is>
          <t>TASK-006</t>
        </is>
      </c>
      <c r="C10" s="41" t="inlineStr">
        <is>
          <t>PRODUIT</t>
        </is>
      </c>
      <c r="D10" s="41" t="inlineStr">
        <is>
          <t>DevOS — Assistant vocal proactif et rappels intelligents</t>
        </is>
      </c>
      <c r="E10" s="41" t="inlineStr">
        <is>
          <t>Lifecycle complet FEATURE-001 (Phase 0 UX → Phase 7 rétro)</t>
        </is>
      </c>
      <c r="F10" s="41" t="inlineStr">
        <is>
          <t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      </is>
      </c>
      <c r="G10" s="41" t="inlineStr">
        <is>
          <t>Équipe complète (Lead + Back + Front + QA + agents qualité)</t>
        </is>
      </c>
      <c r="H10" s="42" t="inlineStr">
        <is>
          <t>TERMINÉ</t>
        </is>
      </c>
      <c r="I10" s="43" t="n">
        <v>1</v>
      </c>
      <c r="J10" s="44" t="inlineStr">
        <is>
          <t>P1</t>
        </is>
      </c>
      <c r="K10" s="41" t="inlineStr">
        <is>
          <t>TASK-005</t>
        </is>
      </c>
      <c r="L10" s="41" t="inlineStr">
        <is>
          <t>src/** (à créer) ; prisma/schema.prisma ; .ai/SPECS/FEATURE-001*</t>
        </is>
      </c>
      <c r="M10" s="41" t="inlineStr">
        <is>
          <t>Gherkin AC-001→012 + E2E navigateur</t>
        </is>
      </c>
      <c r="N10" s="41" t="inlineStr">
        <is>
          <t>PASS</t>
        </is>
      </c>
      <c r="O10" s="45" t="n">
        <v>0</v>
      </c>
      <c r="P10" s="41" t="inlineStr">
        <is>
          <t>7ddb0c9, f2485b5, eb1a3d9 + docs</t>
        </is>
      </c>
      <c r="Q10" s="41" t="inlineStr">
        <is>
          <t>REV-003 APPROUVÉE</t>
        </is>
      </c>
      <c r="R10" s="41" t="inlineStr">
        <is>
          <t>—</t>
        </is>
      </c>
      <c r="S10" s="41" t="inlineStr">
        <is>
          <t>2026-10-25</t>
        </is>
      </c>
      <c r="T10" s="41" t="inlineStr">
        <is>
          <t>FEATURE-001 livrée de bout en bout (M1→M7) ; E2E navigateur validé avec preuves ; revue REV-003 approuvée</t>
        </is>
      </c>
    </row>
    <row r="11" ht="21.75" customHeight="1" s="29">
      <c r="B11" s="46" t="inlineStr">
        <is>
          <t>TASK-007</t>
        </is>
      </c>
      <c r="C11" s="46" t="inlineStr">
        <is>
          <t>PRODUIT</t>
        </is>
      </c>
      <c r="D11" s="46" t="inlineStr">
        <is>
          <t>DevOS — Assistant vocal proactif</t>
        </is>
      </c>
      <c r="E11" s="46" t="inlineStr">
        <is>
          <t>M1 — Préférences vocales (schéma + API + UI 9 réglages)</t>
        </is>
      </c>
      <c r="F11" s="46" t="inlineStr">
        <is>
          <t>Modèle VoicePreferences (singleton, défauts actifs AC-001), GET/PUT /api/voice-preferences (Zod strict), écran Paramètres 9 réglages FR-006 persistés serveur + miroir localStorage</t>
        </is>
      </c>
      <c r="G11" s="46" t="inlineStr">
        <is>
          <t>Backend+Frontend</t>
        </is>
      </c>
      <c r="H11" s="42" t="inlineStr">
        <is>
          <t>TERMINÉ</t>
        </is>
      </c>
      <c r="I11" s="47" t="n">
        <v>1</v>
      </c>
      <c r="J11" s="48" t="inlineStr">
        <is>
          <t>P1</t>
        </is>
      </c>
      <c r="K11" s="46" t="inlineStr">
        <is>
          <t>TASK-006 (contrat API v1)</t>
        </is>
      </c>
      <c r="L11" s="46" t="inlineStr">
        <is>
          <t>prisma/schema.prisma; src/app/api/voice-preferences/; src/components/assistant/settings-screen.tsx; src/hooks/use-voice-assistant.ts</t>
        </is>
      </c>
      <c r="M11" s="46" t="inlineStr">
        <is>
          <t>curl PUT prefs (400 invalide) + E2E réglages persistés vérifiés après reload (AC-005)</t>
        </is>
      </c>
      <c r="N11" s="46" t="inlineStr">
        <is>
          <t>PASS</t>
        </is>
      </c>
      <c r="O11" s="46" t="n">
        <v>0</v>
      </c>
      <c r="P11" s="46" t="inlineStr">
        <is>
          <t>7ddb0c9 + f2485b5</t>
        </is>
      </c>
      <c r="Q11" s="46" t="inlineStr">
        <is>
          <t>REV-003 APPROUVÉE</t>
        </is>
      </c>
      <c r="R11" s="46" t="inlineStr">
        <is>
          <t>2026-10-25</t>
        </is>
      </c>
      <c r="S11" s="46" t="inlineStr">
        <is>
          <t>2026-10-25</t>
        </is>
      </c>
      <c r="T11" s="46" t="inlineStr">
        <is>
          <t>Volume 0..1, offsets 1..10080, HH:mm, jours CSV validés serveur</t>
        </is>
      </c>
    </row>
    <row r="12" ht="21.75" customHeight="1" s="29">
      <c r="B12" s="37" t="inlineStr">
        <is>
          <t>TASK-008</t>
        </is>
      </c>
      <c r="C12" s="37" t="inlineStr">
        <is>
          <t>PRODUIT</t>
        </is>
      </c>
      <c r="D12" s="37" t="inlineStr">
        <is>
          <t>DevOS — Assistant vocal proactif</t>
        </is>
      </c>
      <c r="E12" s="37" t="inlineStr">
        <is>
          <t>M2 — Scheduler + Notifications (tick, dédup, Web Notifications)</t>
        </is>
      </c>
      <c r="F12" s="37" t="inlineStr">
        <is>
          <t>POST /api/assistant/tick (état dérivé, ADR-002), hook client tick 30 s + tick immédiat, Web Notifications API permission explicite + bannière, dédup ReminderLog</t>
        </is>
      </c>
      <c r="G12" s="37" t="inlineStr">
        <is>
          <t>Backend+Frontend</t>
        </is>
      </c>
      <c r="H12" s="34" t="inlineStr">
        <is>
          <t>TERMINÉ</t>
        </is>
      </c>
      <c r="I12" s="38" t="n">
        <v>1</v>
      </c>
      <c r="J12" s="39" t="inlineStr">
        <is>
          <t>P1</t>
        </is>
      </c>
      <c r="K12" s="37" t="inlineStr">
        <is>
          <t>TASK-007</t>
        </is>
      </c>
      <c r="L12" s="37" t="inlineStr">
        <is>
          <t>src/lib/assistant/scheduler.ts; src/app/api/assistant/tick/; src/lib/assistant/notifications.ts; src/hooks/use-voice-assistant.ts</t>
        </is>
      </c>
      <c r="M12" s="37" t="inlineStr">
        <is>
          <t>tick idempotent ×2 (2e = []) + E2E rappel « dans 15 minutes » (AC-002) + anti-frénésie new_task 29 s (FR-002)</t>
        </is>
      </c>
      <c r="N12" s="37" t="inlineStr">
        <is>
          <t>PASS</t>
        </is>
      </c>
      <c r="O12" s="37" t="n">
        <v>0</v>
      </c>
      <c r="P12" s="37" t="inlineStr">
        <is>
          <t>7ddb0c9 + f2485b5</t>
        </is>
      </c>
      <c r="Q12" s="37" t="inlineStr">
        <is>
          <t>REV-003 APPROUVÉE</t>
        </is>
      </c>
      <c r="R12" s="37" t="inlineStr">
        <is>
          <t>2026-10-25</t>
        </is>
      </c>
      <c r="S12" s="37" t="inlineStr">
        <is>
          <t>2026-10-25</t>
        </is>
      </c>
      <c r="T12" s="37" t="inlineStr">
        <is>
          <t>Raison anti_frenesie tracée en DB ; fenêtre de grâce 15 min</t>
        </is>
      </c>
    </row>
    <row r="13" ht="21.75" customHeight="1" s="29">
      <c r="B13" s="33" t="inlineStr">
        <is>
          <t>TASK-009</t>
        </is>
      </c>
      <c r="C13" s="33" t="inlineStr">
        <is>
          <t>PRODUIT</t>
        </is>
      </c>
      <c r="D13" s="33" t="inlineStr">
        <is>
          <t>DevOS — Assistant vocal proactif</t>
        </is>
      </c>
      <c r="E13" s="33" t="inlineStr">
        <is>
          <t>M3 — TTS Web Speech + messages préparés</t>
        </is>
      </c>
      <c r="F13" s="33" t="inlineStr">
        <is>
          <t>File speechSynthesis séquentielle (voix locales, zéro réseau), templates FR ×3 styles fidèles aux faits, reformulation LLM optionnelle</t>
        </is>
      </c>
      <c r="G13" s="33" t="inlineStr">
        <is>
          <t>Frontend</t>
        </is>
      </c>
      <c r="H13" s="34" t="inlineStr">
        <is>
          <t>TERMINÉ</t>
        </is>
      </c>
      <c r="I13" s="35" t="n">
        <v>1</v>
      </c>
      <c r="J13" s="36" t="inlineStr">
        <is>
          <t>P1</t>
        </is>
      </c>
      <c r="K13" s="33" t="inlineStr">
        <is>
          <t>TASK-007, TASK-008</t>
        </is>
      </c>
      <c r="L13" s="33" t="inlineStr">
        <is>
          <t>src/lib/assistant/{tts,templates}.ts; src/lib/assistant/ai.ts; src/components/assistant/assistant-panel.tsx</t>
        </is>
      </c>
      <c r="M13" s="33" t="inlineStr">
        <is>
          <t>E2E annonces prononcées + test-voice (AC-004 : 3 styles + reformulation IA fidèle aux faits)</t>
        </is>
      </c>
      <c r="N13" s="33" t="inlineStr">
        <is>
          <t>PASS</t>
        </is>
      </c>
      <c r="O13" s="33" t="n">
        <v>0</v>
      </c>
      <c r="P13" s="33" t="inlineStr">
        <is>
          <t>f2485b5</t>
        </is>
      </c>
      <c r="Q13" s="33" t="inlineStr">
        <is>
          <t>REV-003 APPROUVÉE</t>
        </is>
      </c>
      <c r="R13" s="33" t="inlineStr">
        <is>
          <t>2026-10-25</t>
        </is>
      </c>
      <c r="S13" s="33" t="inlineStr">
        <is>
          <t>2026-10-25</t>
        </is>
      </c>
      <c r="T13" s="33" t="inlineStr">
        <is>
          <t>Repli toast si synthèse indisponible ; jamais de crash si API absente</t>
        </is>
      </c>
    </row>
    <row r="14" ht="21.75" customHeight="1" s="29">
      <c r="B14" s="37" t="inlineStr">
        <is>
          <t>TASK-010</t>
        </is>
      </c>
      <c r="C14" s="37" t="inlineStr">
        <is>
          <t>PRODUIT</t>
        </is>
      </c>
      <c r="D14" s="37" t="inlineStr">
        <is>
          <t>DevOS — Assistant vocal proactif</t>
        </is>
      </c>
      <c r="E14" s="37" t="inlineStr">
        <is>
          <t>M4 — EventListener tâches/échéances/priorités</t>
        </is>
      </c>
      <c r="F14" s="37" t="inlineStr">
        <is>
          <t>Annonces new_task / deadline / priority générées par le tick (types séparés, bucket priorité 1/jour/tâche, catégorie autorisée)</t>
        </is>
      </c>
      <c r="G14" s="37" t="inlineStr">
        <is>
          <t>Backend</t>
        </is>
      </c>
      <c r="H14" s="34" t="inlineStr">
        <is>
          <t>TERMINÉ</t>
        </is>
      </c>
      <c r="I14" s="38" t="n">
        <v>1</v>
      </c>
      <c r="J14" s="39" t="inlineStr">
        <is>
          <t>P1</t>
        </is>
      </c>
      <c r="K14" s="37" t="inlineStr">
        <is>
          <t>TASK-008</t>
        </is>
      </c>
      <c r="L14" s="37" t="inlineStr">
        <is>
          <t>src/lib/assistant/scheduler.ts; src/app/api/tasks/**</t>
        </is>
      </c>
      <c r="M14" s="37" t="inlineStr">
        <is>
          <t>E2E 3 types d'annonces séparés (AC-003) + priorités (AC-012)</t>
        </is>
      </c>
      <c r="N14" s="37" t="inlineStr">
        <is>
          <t>PASS</t>
        </is>
      </c>
      <c r="O14" s="37" t="n">
        <v>0</v>
      </c>
      <c r="P14" s="37" t="inlineStr">
        <is>
          <t>7ddb0c9</t>
        </is>
      </c>
      <c r="Q14" s="37" t="inlineStr">
        <is>
          <t>REV-003 APPROUVÉE</t>
        </is>
      </c>
      <c r="R14" s="37" t="inlineStr">
        <is>
          <t>2026-10-25</t>
        </is>
      </c>
      <c r="S14" s="37" t="inlineStr">
        <is>
          <t>2026-10-25</t>
        </is>
      </c>
      <c r="T14" s="37" t="inlineStr">
        <is>
          <t>Recalcul automatique après mutation tâche (AC-007 : terminée → plus rien)</t>
        </is>
      </c>
    </row>
    <row r="15" ht="21.75" customHeight="1" s="29">
      <c r="B15" s="33" t="inlineStr">
        <is>
          <t>TASK-011</t>
        </is>
      </c>
      <c r="C15" s="33" t="inlineStr">
        <is>
          <t>PRODUIT</t>
        </is>
      </c>
      <c r="D15" s="33" t="inlineStr">
        <is>
          <t>DevOS — Assistant vocal proactif</t>
        </is>
      </c>
      <c r="E15" s="33" t="inlineStr">
        <is>
          <t>M5 — Heures silencieuses + anti-doublons</t>
        </is>
      </c>
      <c r="F15" s="33" t="inlineStr">
        <is>
          <t>Heures silencieuses wrap minuit + jours CSV, override urgences, spoken=false jamais rejouée, anti-doublons @@unique([taskId,type,scheduledFor]) + snooze→retrigger</t>
        </is>
      </c>
      <c r="G15" s="33" t="inlineStr">
        <is>
          <t>Backend+QA</t>
        </is>
      </c>
      <c r="H15" s="34" t="inlineStr">
        <is>
          <t>TERMINÉ</t>
        </is>
      </c>
      <c r="I15" s="35" t="n">
        <v>1</v>
      </c>
      <c r="J15" s="36" t="inlineStr">
        <is>
          <t>P1</t>
        </is>
      </c>
      <c r="K15" s="33" t="inlineStr">
        <is>
          <t>TASK-008</t>
        </is>
      </c>
      <c r="L15" s="33" t="inlineStr">
        <is>
          <t>src/lib/assistant/{scheduler,quiet-hours}.ts; prisma/schema.prisma (ReminderLog)</t>
        </is>
      </c>
      <c r="M15" s="33" t="inlineStr">
        <is>
          <t>E2E 70 s / 2+ ticks sans doublon (AC-008) + badge « Silencieux — non prononcée » + DB status='expire' (AC-009)</t>
        </is>
      </c>
      <c r="N15" s="33" t="inlineStr">
        <is>
          <t>PASS</t>
        </is>
      </c>
      <c r="O15" s="33" t="n">
        <v>0</v>
      </c>
      <c r="P15" s="33" t="inlineStr">
        <is>
          <t>7ddb0c9</t>
        </is>
      </c>
      <c r="Q15" s="33" t="inlineStr">
        <is>
          <t>REV-003 APPROUVÉE</t>
        </is>
      </c>
      <c r="R15" s="33" t="inlineStr">
        <is>
          <t>2026-10-25</t>
        </is>
      </c>
      <c r="S15" s="33" t="inlineStr">
        <is>
          <t>2026-10-25</t>
        </is>
      </c>
      <c r="T15" s="33" t="inlineStr">
        <is>
          <t>Snooze UI → DB status='reporte' + snoozedUntil, re-déclenchement à l'échéance</t>
        </is>
      </c>
    </row>
    <row r="16" ht="21.75" customHeight="1" s="29">
      <c r="B16" s="37" t="inlineStr">
        <is>
          <t>TASK-012</t>
        </is>
      </c>
      <c r="C16" s="37" t="inlineStr">
        <is>
          <t>PRODUIT</t>
        </is>
      </c>
      <c r="D16" s="37" t="inlineStr">
        <is>
          <t>DevOS — Assistant vocal proactif</t>
        </is>
      </c>
      <c r="E16" s="37" t="inlineStr">
        <is>
          <t>M6 — AIOrchestrator LLM + fallback templates</t>
        </is>
      </c>
      <c r="F16" s="37" t="inlineStr">
        <is>
          <t>Reformulation LLM serveur (z-ai SDK), prompt système strict anti-invention, timeout 4 s, fallback template automatique, privacyMode (faits filtrés)</t>
        </is>
      </c>
      <c r="G16" s="37" t="inlineStr">
        <is>
          <t>Backend+Sécurité</t>
        </is>
      </c>
      <c r="H16" s="34" t="inlineStr">
        <is>
          <t>TERMINÉ</t>
        </is>
      </c>
      <c r="I16" s="38" t="n">
        <v>1</v>
      </c>
      <c r="J16" s="39" t="inlineStr">
        <is>
          <t>P1</t>
        </is>
      </c>
      <c r="K16" s="37" t="inlineStr">
        <is>
          <t>TASK-008, TASK-009</t>
        </is>
      </c>
      <c r="L16" s="37" t="inlineStr">
        <is>
          <t>src/lib/assistant/ai.ts; src/lib/assistant/templates.ts</t>
        </is>
      </c>
      <c r="M16" s="37" t="inlineStr">
        <is>
          <t>test-voice source ia/template + fallback 429 observé → template (AC-012 : templates d'abord, LLM décoratif)</t>
        </is>
      </c>
      <c r="N16" s="37" t="inlineStr">
        <is>
          <t>PASS</t>
        </is>
      </c>
      <c r="O16" s="37" t="n">
        <v>0</v>
      </c>
      <c r="P16" s="37" t="inlineStr">
        <is>
          <t>7ddb0c9</t>
        </is>
      </c>
      <c r="Q16" s="37" t="inlineStr">
        <is>
          <t>REV-003 APPROUVÉE</t>
        </is>
      </c>
      <c r="R16" s="37" t="inlineStr">
        <is>
          <t>2026-10-25</t>
        </is>
      </c>
      <c r="S16" s="37" t="inlineStr">
        <is>
          <t>2026-10-25</t>
        </is>
      </c>
      <c r="T16" s="37" t="inlineStr">
        <is>
          <t>3 bugs corrigés en revue interne : 429 séquentiel, fuite privacyMode, urgent retrigger</t>
        </is>
      </c>
    </row>
    <row r="17" ht="21.75" customHeight="1" s="29">
      <c r="B17" s="33" t="inlineStr">
        <is>
          <t>TASK-013</t>
        </is>
      </c>
      <c r="C17" s="33" t="inlineStr">
        <is>
          <t>PRODUIT</t>
        </is>
      </c>
      <c r="D17" s="33" t="inlineStr">
        <is>
          <t>DevOS — Assistant vocal proactif</t>
        </is>
      </c>
      <c r="E17" s="33" t="inlineStr">
        <is>
          <t>M7 — Sync + ADR arrière-plan Android/Linux (documenté)</t>
        </is>
      </c>
      <c r="F17" s="33" t="inlineStr">
        <is>
          <t>Sandbox : sync = état dérivé recalculé par tick ; arrière-plan natif Android (WorkManager/AlarmManager) et Linux (systemd) non réalisables ici → ADR-001 documenté, aucune simulation trompeuse</t>
        </is>
      </c>
      <c r="G17" s="33" t="inlineStr">
        <is>
          <t>TechLead+Doc</t>
        </is>
      </c>
      <c r="H17" s="34" t="inlineStr">
        <is>
          <t>TERMINÉ</t>
        </is>
      </c>
      <c r="I17" s="35" t="n">
        <v>1</v>
      </c>
      <c r="J17" s="36" t="inlineStr">
        <is>
          <t>P1</t>
        </is>
      </c>
      <c r="K17" s="33" t="inlineStr">
        <is>
          <t>ADR-001, ADR-002</t>
        </is>
      </c>
      <c r="L17" s="33" t="inlineStr">
        <is>
          <t>.ai/ADR/ADR-001-adaptation-plateforme.md; .ai/ADR/ADR-002-scheduler-independant-ia.md</t>
        </is>
      </c>
      <c r="M17" s="33" t="inlineStr">
        <is>
          <t>Revue documentaire ADR-001 (AC-011 = N/A justifié, hors sandbox)</t>
        </is>
      </c>
      <c r="N17" s="49" t="inlineStr">
        <is>
          <t>N/A justifié</t>
        </is>
      </c>
      <c r="O17" s="33" t="n">
        <v>0</v>
      </c>
      <c r="P17" s="33" t="inlineStr">
        <is>
          <t>docs — session clôture</t>
        </is>
      </c>
      <c r="Q17" s="33" t="inlineStr">
        <is>
          <t>REV-003 APPROUVÉE</t>
        </is>
      </c>
      <c r="R17" s="33" t="inlineStr">
        <is>
          <t>2026-10-25</t>
        </is>
      </c>
      <c r="S17" s="33" t="inlineStr">
        <is>
          <t>2026-10-25</t>
        </is>
      </c>
      <c r="T17" s="33" t="inlineStr">
        <is>
          <t>ADR cible Flutter à produire dans le dépôt cible</t>
        </is>
      </c>
    </row>
    <row r="18" ht="21.75" customHeight="1" s="29">
      <c r="B18" s="37" t="inlineStr">
        <is>
          <t>TASK-014</t>
        </is>
      </c>
      <c r="C18" s="37" t="inlineStr">
        <is>
          <t>PRODUIT</t>
        </is>
      </c>
      <c r="D18" s="37" t="inlineStr">
        <is>
          <t>DevOS — Assistant vocal proactif</t>
        </is>
      </c>
      <c r="E18" s="37" t="inlineStr">
        <is>
          <t>Phase 5/6 — E2E navigateur + journaux + commits</t>
        </is>
      </c>
      <c r="F18" s="37" t="inlineStr">
        <is>
          <t>Campagne E2E navigateur FEATURE-001 (AC-002→005, 008→010, 012, FR-002 ; mobile 390px, 0 erreur console/page), journaux (TEST_PLAN, REVIEW_LOG, CHANGELOG, DAILY_STANDUP, TEAM_STATUS), TASKS.xlsx/md, session de commits conventionnels</t>
        </is>
      </c>
      <c r="G18" s="37" t="inlineStr">
        <is>
          <t>QA+DOC+COMMIT</t>
        </is>
      </c>
      <c r="H18" s="34" t="inlineStr">
        <is>
          <t>TERMINÉ</t>
        </is>
      </c>
      <c r="I18" s="38" t="n">
        <v>1</v>
      </c>
      <c r="J18" s="39" t="inlineStr">
        <is>
          <t>P1</t>
        </is>
      </c>
      <c r="K18" s="37" t="inlineStr">
        <is>
          <t>TASK-007→013, REV-003</t>
        </is>
      </c>
      <c r="L18" s="37" t="inlineStr">
        <is>
          <t>.ai/TEST_PLAN.md; .ai/REVIEW_LOG.md; .ai/CHANGELOG.md; .ai/TASKS.xlsx; .ai/COMMIT_LOG.md; worklog.md</t>
        </is>
      </c>
      <c r="M18" s="37" t="inlineStr">
        <is>
          <t>E2E agent-browser complet + validate xlsx passed + git log conventionnel</t>
        </is>
      </c>
      <c r="N18" s="37" t="inlineStr">
        <is>
          <t>PASS</t>
        </is>
      </c>
      <c r="O18" s="37" t="n">
        <v>0</v>
      </c>
      <c r="P18" s="37" t="inlineStr">
        <is>
          <t>7ddb0c9, f2485b5, eb1a3d9 + docs</t>
        </is>
      </c>
      <c r="Q18" s="37" t="inlineStr">
        <is>
          <t>REV-003 APPROUVÉE</t>
        </is>
      </c>
      <c r="R18" s="37" t="inlineStr">
        <is>
          <t>2026-10-25</t>
        </is>
      </c>
      <c r="S18" s="37" t="inlineStr">
        <is>
          <t>2026-10-25</t>
        </is>
      </c>
      <c r="T18" s="37" t="inlineStr">
        <is>
          <t>Lint exit 0 · tsc 0 erreur · headers sécurité actifs · GET / 200</t>
        </is>
      </c>
    </row>
    <row r="19" ht="25.5" customHeight="1" s="29">
      <c r="B19" s="37" t="inlineStr">
        <is>
          <t>TASK-015</t>
        </is>
      </c>
      <c r="C19" s="37" t="inlineStr">
        <is>
          <t>PRODUIT</t>
        </is>
      </c>
      <c r="D19" s="37" t="inlineStr">
        <is>
          <t>DevOS — Authentification (FEATURE-AUTH, Task 22)</t>
        </is>
      </c>
      <c r="E19" s="37" t="inlineStr">
        <is>
          <t>Système auth JWT/bcrypt + scopage multi-utilisateurs intégral (ADR-003, next-auth proscrit DEBT-016)</t>
        </is>
      </c>
      <c r="F19" s="37" t="inlineStr">
        <is>
          <t>Session maison : /api/auth/register|login|logout|me (bcrypt c10, JWT HS256 jose TTL 7j, cookie httpOnly, secret .env) ; User.passwordHash, Task.userId, VoicePreferences.userId (fin singleton) ; scheduler par utilisateur ; AuthGate UI + déconnexion + expiration 401</t>
        </is>
      </c>
      <c r="G19" s="37" t="inlineStr">
        <is>
          <t>ORCHESTRATEUR (CTO)</t>
        </is>
      </c>
      <c r="H19" s="34" t="inlineStr">
        <is>
          <t>TERMINÉ</t>
        </is>
      </c>
      <c r="I19" s="38" t="n">
        <v>1</v>
      </c>
      <c r="J19" s="39" t="inlineStr">
        <is>
          <t>P1</t>
        </is>
      </c>
      <c r="K19" s="37" t="inlineStr">
        <is>
          <t>DEBT-016 (proscription next-auth), AUDIT-002</t>
        </is>
      </c>
      <c r="L19" s="37" t="inlineStr">
        <is>
          <t>prisma/schema.prisma; src/lib/auth.ts; src/app/api/auth/*; 6 routes métier; scheduler.ts; use-session.ts; use-voice-assistant.ts; auth-gate.tsx; dev-os-app.tsx; page.tsx</t>
        </is>
      </c>
      <c r="M19" s="37" t="inlineStr">
        <is>
          <t>18 tests curl (register/me/401/tâche/tick/prefs/logout/login 401/doublon 409/faible 400/isolation Bob→Alice 404) + E2E navigateur (inscription→app→déconnexion→connexion→tâche UI) + responsive</t>
        </is>
      </c>
      <c r="N19" s="37" t="inlineStr">
        <is>
          <t>PASS</t>
        </is>
      </c>
      <c r="O19" s="37" t="n">
        <v>0</v>
      </c>
      <c r="P19" s="37" t="inlineStr">
        <is>
          <t>67897bf (code), e22aee5 (docs)</t>
        </is>
      </c>
      <c r="Q19" s="37" t="inlineStr">
        <is>
          <t>Auto-revue CTO — AUDIT-003 planifié</t>
        </is>
      </c>
      <c r="R19" s="37" t="inlineStr">
        <is>
          <t>2026-10-25</t>
        </is>
      </c>
      <c r="S19" s="37" t="inlineStr">
        <is>
          <t>2026-10-25</t>
        </is>
      </c>
      <c r="T19" s="37" t="inlineStr">
        <is>
          <t>lint 0 · console navigateur propre · DB purgée pour migration (DEBT-020) · DEBT-021 ouvert (rate limiting)</t>
        </is>
      </c>
    </row>
    <row r="20" ht="15" customHeight="1" s="29">
      <c r="B20" s="37" t="inlineStr">
        <is>
          <t>TASK-016</t>
        </is>
      </c>
      <c r="C20" s="37" t="inlineStr">
        <is>
          <t>PRODUIT</t>
        </is>
      </c>
      <c r="D20" s="37" t="inlineStr">
        <is>
          <t>DevOS — Authentification (FEATURE-AUTH)</t>
        </is>
      </c>
      <c r="E20" s="37" t="inlineStr">
        <is>
          <t>AUDIT GLOBAL #003 post-FEATURE-AUTH (Task 24)</t>
        </is>
      </c>
      <c r="F20" s="37" t="inlineStr">
        <is>
          <t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      </is>
      </c>
      <c r="G20" s="37" t="inlineStr">
        <is>
          <t>Audit Global (+ soldes CTO Task 23 / 24-ter / 24-quater)</t>
        </is>
      </c>
      <c r="H20" s="34" t="inlineStr">
        <is>
          <t>TERMINÉ</t>
        </is>
      </c>
      <c r="I20" s="38" t="n">
        <v>1</v>
      </c>
      <c r="J20" s="39" t="inlineStr">
        <is>
          <t>P1</t>
        </is>
      </c>
      <c r="K20" s="37" t="inlineStr">
        <is>
          <t>TASK-015 (FEATURE-AUTH), règle « audit après chaque feature », AUDIT-002 §9</t>
        </is>
      </c>
      <c r="L20" s="37" t="inlineStr">
        <is>
          <t>.ai/AUDITS/AUDIT-003-2026-10-25.md; .ai/AUDIT_REPORT.md; .ai/DEBT_REPORT.md; .ai/SYSTEM_COMPLIANCE.md; .ai/COMMIT_LOG.md</t>
        </is>
      </c>
      <c r="M20" s="37" t="inlineStr">
        <is>
          <t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      </is>
      </c>
      <c r="N20" s="37" t="inlineStr">
        <is>
          <t>PASS</t>
        </is>
      </c>
      <c r="O20" s="37" t="n">
        <v>0</v>
      </c>
      <c r="P20" s="37" t="inlineStr">
        <is>
          <t>audit pur — 0 code applicatif modifié ; commit gouvernance de clôture (fin de session Task 24/25)</t>
        </is>
      </c>
      <c r="Q20" s="37" t="inlineStr">
        <is>
          <t>Verdict AUTORISÉ SOUS CONDITION — 77/100 stable vs AUDIT-002 · sécurité +16 (78) · conditions n°1 (seed/tsc) et DEBT-019 soldées immédiatement · REV-004 rétrospective J+1</t>
        </is>
      </c>
      <c r="R20" s="37" t="inlineStr">
        <is>
          <t>2026-10-25</t>
        </is>
      </c>
      <c r="S20" s="37" t="inlineStr">
        <is>
          <t>2026-10-25</t>
        </is>
      </c>
      <c r="T20" s="37" t="inlineStr">
        <is>
          <t>0 CRITIQUE · 2 MAJEUR · 5 MINEUR · dette 22 items (14 TRAITÉ) · restant avant prod réelle : CSP (DEBT-013) + rate limiting (DEBT-021) + purge 6 comptes de démo (DEBT-020)</t>
        </is>
      </c>
    </row>
    <row r="21" ht="15" customHeight="1" s="29">
      <c r="B21" s="37" t="inlineStr">
        <is>
          <t>TASK-017</t>
        </is>
      </c>
      <c r="C21" s="37" t="inlineStr">
        <is>
          <t>PRODUIT</t>
        </is>
      </c>
      <c r="D21" s="37" t="inlineStr">
        <is>
          <t>DevOS — Authentification (FEATURE-AUTH, Task 26)</t>
        </is>
      </c>
      <c r="E21" s="37" t="inlineStr">
        <is>
          <t>Durcissement sécurité pré-prod : rate limiting (DEBT-021) + CSP (DEBT-013) + REV-004 (Task 27)</t>
        </is>
      </c>
      <c r="F21" s="37" t="inlineStr">
        <is>
          <t>Suite du plan d'action AUDIT-003 : src/lib/rate-limit.ts (fenêtre fixe mémoire, login 10/15 min/IP, register 5/h/IP, 429 uniforme { error } + Retry-After, 0 middleware/0 dépendance) ; CSP 10 directives (corrigé AUDIT-004) dans next.config.ts (unsafe-inline/eval justifiés, frame-ancestors 'none', XFO SAMEORIGIN→DENY) ; revue indépendante REV-004 (Agent Reviewer) sur FEATURE-AUTH + fix seed + durcissement</t>
        </is>
      </c>
      <c r="G21" s="37" t="inlineStr">
        <is>
          <t>ORCHESTRATEUR (CTO) + AGENT REVIEWER (indépendant)</t>
        </is>
      </c>
      <c r="H21" s="34" t="inlineStr">
        <is>
          <t>TERMINÉ</t>
        </is>
      </c>
      <c r="I21" s="38" t="n">
        <v>1</v>
      </c>
      <c r="J21" s="39" t="inlineStr">
        <is>
          <t>P1</t>
        </is>
      </c>
      <c r="K21" s="37" t="inlineStr">
        <is>
          <t>Plan d'action AUDIT-003 (actions 1, 2, 4, 5), DEBT-013, DEBT-021</t>
        </is>
      </c>
      <c r="L21" s="37" t="inlineStr">
        <is>
          <t>src/lib/rate-limit.ts; src/lib/api-helpers.ts; src/app/api/auth/{login,register}/route.ts; next.config.ts; .ai/REVIEW_LOG.md (REV-004)</t>
        </is>
      </c>
      <c r="M21" s="37" t="inlineStr">
        <is>
          <t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      </is>
      </c>
      <c r="N21" s="37" t="inlineStr">
        <is>
          <t>PASS</t>
        </is>
      </c>
      <c r="O21" s="37" t="n">
        <v>0</v>
      </c>
      <c r="P21" s="37" t="inlineStr">
        <is>
          <t>88f334f (rate limiting), db13a8b (CSP) — REV-004 : 0 code modifié (audit pur)</t>
        </is>
      </c>
      <c r="Q21" s="37" t="inlineStr">
        <is>
          <t>REV-004 ✅ APPROUVÉE — 0 bloquant · 0 majeur · 4 mineurs tracés (XFF accès direct, Map &gt; 5000, mdp démo, h1 AuthGate)</t>
        </is>
      </c>
      <c r="R21" s="37" t="inlineStr">
        <is>
          <t>2026-10-25</t>
        </is>
      </c>
      <c r="S21" s="37" t="inlineStr">
        <is>
          <t>2026-10-25</t>
        </is>
      </c>
      <c r="T21" s="37" t="inlineStr">
        <is>
          <t>Dette 22 items : 17 TRAITÉ (013/021 soldés) · 2 EN COURS (003, 017) · 1 REPORTÉ (010) · 1 ACCEPTÉE (012) · 1 OUVERT (018) · restant avant exposition prod réelle : DEBT-020 purge comptes de démo + verrou accès direct :3000 (mineur REV-004)</t>
        </is>
      </c>
    </row>
    <row r="22" ht="15" customHeight="1" s="29">
      <c r="B22" s="37" t="inlineStr">
        <is>
          <t>TASK-018</t>
        </is>
      </c>
      <c r="C22" s="37" t="inlineStr">
        <is>
          <t>PRODUIT</t>
        </is>
      </c>
      <c r="D22" s="37" t="inlineStr">
        <is>
          <t>DevOS — Authentification (FEATURE-AUTH)</t>
        </is>
      </c>
      <c r="E22" s="37" t="inlineStr">
        <is>
          <t>Responsivité mobile de la vue de connexion (AuthGate)</t>
        </is>
      </c>
      <c r="F22" s="37" t="inlineStr">
        <is>
          <t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      </is>
      </c>
      <c r="G22" s="37" t="inlineStr">
        <is>
          <t>Frontend / UX (CTO Task 29)</t>
        </is>
      </c>
      <c r="H22" s="34" t="inlineStr">
        <is>
          <t>TERMINÉ</t>
        </is>
      </c>
      <c r="I22" s="38" t="n">
        <v>1</v>
      </c>
      <c r="J22" s="39" t="inlineStr">
        <is>
          <t>P2</t>
        </is>
      </c>
      <c r="K22" s="37" t="inlineStr">
        <is>
          <t>TASK-015 (FEATURE-AUTH — la vue de connexion existe)</t>
        </is>
      </c>
      <c r="L22" s="37" t="inlineStr">
        <is>
          <t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      </is>
      </c>
      <c r="M22" s="37" t="inlineStr">
        <is>
          <t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      </is>
      </c>
      <c r="N22" s="37" t="inlineStr">
        <is>
          <t>PASS</t>
        </is>
      </c>
      <c r="O22" s="37" t="n">
        <v>0</v>
      </c>
      <c r="P22" s="37" t="inlineStr">
        <is>
          <t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      </is>
      </c>
      <c r="Q22" s="37" t="inlineStr">
        <is>
          <t>Vue de connexion : 100 % utilisable 320→1280 px, clavier iOS et paysage couverts (centrage sûr) · a11y : h1 ajouté (partie de DEBT-017 — le découpage UI reste EN COURS)</t>
        </is>
      </c>
      <c r="R22" s="37" t="inlineStr">
        <is>
          <t>2026-10-26</t>
        </is>
      </c>
      <c r="S22" s="37" t="inlineStr">
        <is>
          <t>2026-10-26</t>
        </is>
      </c>
      <c r="T22" s="37" t="inlineStr">
        <is>
          <t>min-h-dvh : dégradation gracieuse top-alignée sur navigateurs sans dvh (&lt; 2022) — acceptable · AUDIT-004 requis après cette évolution (règle « audit après chaque feature »)</t>
        </is>
      </c>
    </row>
    <row r="23" ht="15" customHeight="1" s="29">
      <c r="B23" s="50" t="inlineStr">
        <is>
          <t>TOTAL</t>
        </is>
      </c>
      <c r="C23" s="50" t="inlineStr">
        <is>
          <t>18 tâches</t>
        </is>
      </c>
      <c r="D23" s="50" t="n"/>
      <c r="E23" s="50" t="n"/>
      <c r="F23" s="50" t="n"/>
      <c r="G23" s="50" t="n"/>
      <c r="H23" s="50" t="n"/>
      <c r="I23" s="51" t="n">
        <v>1</v>
      </c>
      <c r="J23" s="50" t="n"/>
      <c r="K23" s="50" t="n"/>
      <c r="L23" s="50" t="n"/>
      <c r="M23" s="50" t="n"/>
      <c r="N23" s="50" t="n"/>
      <c r="O23" s="50" t="n">
        <v>0</v>
      </c>
      <c r="P23" s="50" t="n"/>
      <c r="Q23" s="50" t="n"/>
      <c r="R23" s="50" t="n"/>
      <c r="S23" s="50" t="n"/>
      <c r="T23" s="50" t="inlineStr">
        <is>
          <t>Terminées : 18 · En cours : 0 · À faire : 0 · Bloquées : 0</t>
        </is>
      </c>
    </row>
    <row r="25" ht="15" customHeight="1" s="29">
      <c r="B25" s="52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</sheetData>
  <mergeCells count="1">
    <mergeCell ref="B2:T2"/>
  </mergeCells>
  <dataValidations count="2">
    <dataValidation sqref="H5:H29" showDropDown="0" showInputMessage="0" showErrorMessage="0" allowBlank="1" type="list" errorStyle="stop" operator="between">
      <formula1>"À FAIRE,EN COURS,TERMINÉ,BLOQUÉ"</formula1>
      <formula2>0</formula2>
    </dataValidation>
    <dataValidation sqref="J5:J29" showDropDown="0" showInputMessage="0" showErrorMessage="0" allowBlank="1" type="list" errorStyle="stop" operator="between">
      <formula1>"P0,P1,P2,P3,P4"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5" customWidth="1" style="28" min="2" max="2"/>
    <col width="28" customWidth="1" style="28" min="3" max="3"/>
    <col width="26" customWidth="1" style="28" min="4" max="4"/>
  </cols>
  <sheetData>
    <row r="2" ht="31.5" customHeight="1" s="29">
      <c r="B2" s="30" t="inlineStr">
        <is>
          <t>Statistiques du Backlog</t>
        </is>
      </c>
    </row>
    <row r="3" ht="7.5" customHeight="1" s="29"/>
    <row r="4" ht="27.75" customHeight="1" s="29">
      <c r="B4" s="32" t="inlineStr">
        <is>
          <t>Indicateur</t>
        </is>
      </c>
      <c r="C4" s="32" t="inlineStr">
        <is>
          <t>Valeur</t>
        </is>
      </c>
      <c r="D4" s="32" t="inlineStr">
        <is>
          <t>Source</t>
        </is>
      </c>
    </row>
    <row r="5" ht="21.75" customHeight="1" s="29">
      <c r="B5" s="33" t="inlineStr">
        <is>
          <t>Total tâches</t>
        </is>
      </c>
      <c r="C5" s="33" t="n">
        <v>18</v>
      </c>
      <c r="D5" s="33" t="inlineStr">
        <is>
          <t>Comptage lignes TASKS</t>
        </is>
      </c>
    </row>
    <row r="6" ht="21.75" customHeight="1" s="29">
      <c r="B6" s="37" t="inlineStr">
        <is>
          <t>Terminées</t>
        </is>
      </c>
      <c r="C6" s="37">
        <f>COUNTIF(TASKS!H5:H22,"TERMINÉ")</f>
        <v/>
      </c>
      <c r="D6" s="37" t="inlineStr">
        <is>
          <t>COUNTIF Statut</t>
        </is>
      </c>
    </row>
    <row r="7" ht="21.75" customHeight="1" s="29">
      <c r="B7" s="33" t="inlineStr">
        <is>
          <t>En cours</t>
        </is>
      </c>
      <c r="C7" s="33">
        <f>COUNTIF(TASKS!H5:H22,"EN COURS")</f>
        <v/>
      </c>
      <c r="D7" s="33" t="inlineStr">
        <is>
          <t>COUNTIF Statut</t>
        </is>
      </c>
    </row>
    <row r="8" ht="21.75" customHeight="1" s="29">
      <c r="B8" s="37" t="inlineStr">
        <is>
          <t>À faire</t>
        </is>
      </c>
      <c r="C8" s="37">
        <f>COUNTIF(TASKS!H5:H22,"À FAIRE")</f>
        <v/>
      </c>
      <c r="D8" s="37" t="inlineStr">
        <is>
          <t>COUNTIF Statut</t>
        </is>
      </c>
    </row>
    <row r="9" ht="21.75" customHeight="1" s="29">
      <c r="B9" s="33" t="inlineStr">
        <is>
          <t>Bloquées</t>
        </is>
      </c>
      <c r="C9" s="33">
        <f>COUNTIF(TASKS!H5:H22,"BLOQUÉ")</f>
        <v/>
      </c>
      <c r="D9" s="33" t="inlineStr">
        <is>
          <t>COUNTIF Statut</t>
        </is>
      </c>
    </row>
    <row r="10" ht="21.75" customHeight="1" s="29">
      <c r="B10" s="37" t="inlineStr">
        <is>
          <t>Bugs ouverts</t>
        </is>
      </c>
      <c r="C10" s="37">
        <f>SUM(TASKS!O5:O22)</f>
        <v/>
      </c>
      <c r="D10" s="37" t="inlineStr">
        <is>
          <t>SUM colonne Bugs</t>
        </is>
      </c>
    </row>
    <row r="11" ht="21.75" customHeight="1" s="29">
      <c r="B11" s="33" t="inlineStr">
        <is>
          <t>Progression moyenne</t>
        </is>
      </c>
      <c r="C11" s="53">
        <f>AVERAGE(TASKS!I5:I22)</f>
        <v/>
      </c>
      <c r="D11" s="33" t="inlineStr">
        <is>
          <t>AVERAGE colonne Progression</t>
        </is>
      </c>
    </row>
    <row r="12" ht="21.75" customHeight="1" s="29">
      <c r="B12" s="37" t="inlineStr">
        <is>
          <t>Score santé projet</t>
        </is>
      </c>
      <c r="C12" s="54" t="inlineStr">
        <is>
          <t>77 / 100 (AUDIT-003) · AUTORISÉ SOUS CONDITION — toutes conditions soldées + REV-004 APPROUVÉE</t>
        </is>
      </c>
      <c r="D12" s="37" t="inlineStr">
        <is>
          <t>.ai/AUDIT_REPORT.md</t>
        </is>
      </c>
    </row>
    <row r="13" ht="21.75" customHeight="1" s="29">
      <c r="B13" s="33" t="inlineStr">
        <is>
          <t>Dette technique (items)</t>
        </is>
      </c>
      <c r="C13" s="55" t="n">
        <v>22</v>
      </c>
      <c r="D13" s="33" t="inlineStr">
        <is>
          <t>.ai/DEBT_REPORT.md (17 TRAITÉ · 2 EN COURS · 1 REPORTÉ · 1 ACCEPTÉE · 1 OUVERT)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2026-10-25T19:29:59Z</dcterms:created>
  <dcterms:modified xmlns:dcterms="http://purl.org/dc/terms/" xmlns:xsi="http://www.w3.org/2001/XMLSchema-instance" xsi:type="dcterms:W3CDTF">2026-10-26T09:54:53Z</dcterms:modified>
  <cp:revision>0</cp:revision>
</cp:coreProperties>
</file>